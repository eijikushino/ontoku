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715" yWindow="3675" windowWidth="25005" windowHeight="14535" tabRatio="600" firstSheet="0" activeTab="0" autoFilterDateGrouping="1"/>
  </bookViews>
  <sheets>
    <sheet xmlns:r="http://schemas.openxmlformats.org/officeDocument/2006/relationships" name="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_ "/>
    <numFmt numFmtId="165" formatCode="0.00_ "/>
  </numFmts>
  <fonts count="8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9"/>
    </font>
    <font>
      <name val="ＭＳ Ｐゴシック"/>
      <charset val="128"/>
      <family val="3"/>
      <sz val="8"/>
    </font>
    <font>
      <name val="ＭＳ Ｐゴシック"/>
      <charset val="128"/>
      <family val="3"/>
      <sz val="11"/>
    </font>
    <font>
      <name val="ＭＳ Ｐゴシック"/>
      <charset val="128"/>
      <family val="3"/>
      <sz val="26"/>
    </font>
    <font>
      <name val="ＭＳ Ｐゴシック"/>
      <charset val="128"/>
      <family val="3"/>
      <sz val="6"/>
      <scheme val="minor"/>
    </font>
    <font>
      <name val="ＭＳ Ｐゴシック"/>
      <charset val="128"/>
      <sz val="8"/>
    </font>
    <font>
      <name val="ＭＳ Ｐゴシック"/>
      <charset val="128"/>
      <sz val="26"/>
    </font>
  </fonts>
  <fills count="2">
    <fill>
      <patternFill/>
    </fill>
    <fill>
      <patternFill patternType="gray125"/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48" fontId="1" fillId="0" borderId="0" pivotButton="0" quotePrefix="0" xfId="0"/>
    <xf numFmtId="0" fontId="0" fillId="0" borderId="2" pivotButton="0" quotePrefix="0" xfId="0"/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164" fontId="2" fillId="0" borderId="9" applyAlignment="1" pivotButton="0" quotePrefix="0" xfId="0">
      <alignment horizontal="right"/>
    </xf>
    <xf numFmtId="165" fontId="2" fillId="0" borderId="9" pivotButton="0" quotePrefix="0" xfId="0"/>
    <xf numFmtId="165" fontId="2" fillId="0" borderId="10" pivotButton="0" quotePrefix="0" xfId="0"/>
    <xf numFmtId="0" fontId="0" fillId="0" borderId="10" pivotButton="0" quotePrefix="0" xfId="0"/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164" fontId="2" fillId="0" borderId="12" applyAlignment="1" pivotButton="0" quotePrefix="0" xfId="0">
      <alignment horizontal="right"/>
    </xf>
    <xf numFmtId="165" fontId="2" fillId="0" borderId="12" pivotButton="0" quotePrefix="0" xfId="0"/>
    <xf numFmtId="0" fontId="0" fillId="0" borderId="13" pivotButton="0" quotePrefix="0" xfId="0"/>
    <xf numFmtId="0" fontId="2" fillId="0" borderId="1" applyAlignment="1" pivotButton="0" quotePrefix="0" xfId="0">
      <alignment horizontal="center"/>
    </xf>
    <xf numFmtId="165" fontId="2" fillId="0" borderId="2" pivotButton="0" quotePrefix="0" xfId="0"/>
    <xf numFmtId="165" fontId="2" fillId="0" borderId="14" pivotButton="0" quotePrefix="0" xfId="0"/>
    <xf numFmtId="165" fontId="2" fillId="0" borderId="9" applyAlignment="1" pivotButton="0" quotePrefix="0" xfId="0">
      <alignment horizontal="right"/>
    </xf>
    <xf numFmtId="165" fontId="2" fillId="0" borderId="10" applyAlignment="1" pivotButton="0" quotePrefix="0" xfId="0">
      <alignment horizontal="right"/>
    </xf>
    <xf numFmtId="0" fontId="3" fillId="0" borderId="1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6" pivotButton="0" quotePrefix="0" xfId="0"/>
    <xf numFmtId="0" fontId="4" fillId="0" borderId="12" applyAlignment="1" pivotButton="0" quotePrefix="0" xfId="0">
      <alignment horizontal="center"/>
    </xf>
    <xf numFmtId="0" fontId="0" fillId="0" borderId="13" pivotButton="0" quotePrefix="0" xfId="0"/>
    <xf numFmtId="0" fontId="0" fillId="0" borderId="17" pivotButton="0" quotePrefix="0" xfId="0"/>
    <xf numFmtId="0" fontId="0" fillId="0" borderId="20" pivotButton="0" quotePrefix="0" xfId="0"/>
    <xf numFmtId="164" fontId="2" fillId="0" borderId="9" applyAlignment="1" pivotButton="0" quotePrefix="0" xfId="0">
      <alignment horizontal="right"/>
    </xf>
    <xf numFmtId="165" fontId="6" fillId="0" borderId="9" pivotButton="0" quotePrefix="0" xfId="0"/>
    <xf numFmtId="165" fontId="6" fillId="0" borderId="10" pivotButton="0" quotePrefix="0" xfId="0"/>
    <xf numFmtId="164" fontId="2" fillId="0" borderId="12" applyAlignment="1" pivotButton="0" quotePrefix="0" xfId="0">
      <alignment horizontal="right"/>
    </xf>
    <xf numFmtId="165" fontId="6" fillId="0" borderId="12" pivotButton="0" quotePrefix="0" xfId="0"/>
    <xf numFmtId="165" fontId="2" fillId="0" borderId="2" pivotButton="0" quotePrefix="0" xfId="0"/>
    <xf numFmtId="165" fontId="2" fillId="0" borderId="14" pivotButton="0" quotePrefix="0" xfId="0"/>
    <xf numFmtId="165" fontId="2" fillId="0" borderId="9" pivotButton="0" quotePrefix="0" xfId="0"/>
    <xf numFmtId="165" fontId="2" fillId="0" borderId="10" pivotButton="0" quotePrefix="0" xfId="0"/>
    <xf numFmtId="165" fontId="2" fillId="0" borderId="9" applyAlignment="1" pivotButton="0" quotePrefix="0" xfId="0">
      <alignment horizontal="right"/>
    </xf>
    <xf numFmtId="165" fontId="2" fillId="0" borderId="10" applyAlignment="1" pivotButton="0" quotePrefix="0" xfId="0">
      <alignment horizontal="right"/>
    </xf>
    <xf numFmtId="0" fontId="7" fillId="0" borderId="12" applyAlignment="1" pivotButton="0" quotePrefix="0" xfId="0">
      <alignment horizontal="center"/>
    </xf>
    <xf numFmtId="0" fontId="0" fillId="0" borderId="23" pivotButton="0" quotePrefix="0" xfId="0"/>
  </cellXfs>
  <cellStyles count="1">
    <cellStyle name="標準" xfId="0" builtinId="0"/>
  </cellStyles>
  <dxfs count="2">
    <dxf>
      <font>
        <color rgb="00FF0000"/>
      </font>
    </dxf>
    <dxf>
      <font>
        <color rgb="00FF0000"/>
        <sz val="2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0">
                <a:latin typeface="メイリオ" panose="020B0604030504040204" pitchFamily="50" charset="-128"/>
                <a:ea typeface="メイリオ" panose="020B0604030504040204" pitchFamily="50" charset="-128"/>
              </a:defRPr>
            </a:pPr>
            <a:r>
              <a:rPr lang="en-US" sz="1100" b="0">
                <a:latin typeface="メイリオ" panose="020B0604030504040204" pitchFamily="50" charset="-128"/>
                <a:ea typeface="メイリオ" panose="020B0604030504040204" pitchFamily="50" charset="-128"/>
              </a:rPr>
              <a:t/>
            </a:r>
            <a:r>
              <a:rPr lang="ja-JP" altLang="en-US" sz="1100" b="0">
                <a:latin typeface="メイリオ" panose="020B0604030504040204" pitchFamily="50" charset="-128"/>
                <a:ea typeface="メイリオ" panose="020B0604030504040204" pitchFamily="50" charset="-128"/>
              </a:rPr>
              <a:t>直線性</a:t>
            </a:r>
            <a:r>
              <a:rPr lang="en-US" altLang="ja-JP" sz="1100" b="0">
                <a:latin typeface="メイリオ" panose="020B0604030504040204" pitchFamily="50" charset="-128"/>
                <a:ea typeface="メイリオ" panose="020B0604030504040204" pitchFamily="50" charset="-128"/>
              </a:rPr>
              <a:t>(48</a:t>
            </a:r>
            <a:r>
              <a:rPr lang="ja-JP" altLang="en-US" sz="1100" b="0">
                <a:latin typeface="メイリオ" panose="020B0604030504040204" pitchFamily="50" charset="-128"/>
                <a:ea typeface="メイリオ" panose="020B0604030504040204" pitchFamily="50" charset="-128"/>
              </a:rPr>
              <a:t>点シーケンシャル測定</a:t>
            </a:r>
            <a:r>
              <a:rPr lang="en-US" altLang="ja-JP" sz="1100" b="0">
                <a:latin typeface="メイリオ" panose="020B0604030504040204" pitchFamily="50" charset="-128"/>
                <a:ea typeface="メイリオ" panose="020B0604030504040204" pitchFamily="50" charset="-128"/>
              </a:rPr>
              <a:t>)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.1525202643387743"/>
          <y val="0.1204703573609466"/>
          <w val="0.7210940737670948"/>
          <h val="0.7776945599924842"/>
        </manualLayout>
      </layout>
      <lineChart>
        <grouping val="standard"/>
        <varyColors val="1"/>
        <ser>
          <idx val="0"/>
          <order val="0"/>
          <tx>
            <strRef>
              <f>'T'!$G$5</f>
              <strCache>
                <ptCount val="1"/>
                <pt idx="0">
                  <v>INL</v>
                </pt>
              </strCache>
            </strRef>
          </tx>
          <spPr>
            <a:ln xmlns:a="http://schemas.openxmlformats.org/drawingml/2006/main" w="12700">
              <a:solidFill>
                <a:srgbClr val="FF00FF"/>
              </a:solidFill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FF00FF"/>
              </a:solidFill>
              <a:ln xmlns:a="http://schemas.openxmlformats.org/drawingml/2006/main" w="6350">
                <a:solidFill>
                  <a:srgbClr val="FF00FF"/>
                </a:solidFill>
                <a:prstDash val="solid"/>
              </a:ln>
            </spPr>
          </marker>
          <val>
            <numRef>
              <f>'T'!$G$7:$G$54</f>
              <numCache>
                <formatCode xml:space="preserve">0.00_ </formatCode>
                <ptCount val="48"/>
                <pt idx="0">
                  <v>0</v>
                </pt>
                <pt idx="1">
                  <v>-0.1459171463104515</v>
                </pt>
                <pt idx="2">
                  <v>-0.1552125036806966</v>
                </pt>
                <pt idx="3">
                  <v>-0.1855911466053591</v>
                </pt>
                <pt idx="4">
                  <v>-0.1996066424838962</v>
                </pt>
                <pt idx="5">
                  <v>-0.2954102639639002</v>
                </pt>
                <pt idx="6">
                  <v>-0.313306762719436</v>
                </pt>
                <pt idx="7">
                  <v>-0.3307533101083056</v>
                </pt>
                <pt idx="8">
                  <v>-0.3259931435582258</v>
                </pt>
                <pt idx="9">
                  <v>-0.2577898512638406</v>
                </pt>
                <pt idx="10">
                  <v>-0.252242994977906</v>
                </pt>
                <pt idx="11">
                  <v>-0.3297235524301083</v>
                </pt>
                <pt idx="12">
                  <v>-0.3968143843943856</v>
                </pt>
                <pt idx="13">
                  <v>-0.3189801930365123</v>
                </pt>
                <pt idx="14">
                  <v>-0.3766831937864812</v>
                </pt>
                <pt idx="15">
                  <v>-0.3607957772738251</v>
                </pt>
                <pt idx="16">
                  <v>-0.4559452108106625</v>
                </pt>
                <pt idx="17">
                  <v>-0.310847023867624</v>
                </pt>
                <pt idx="18">
                  <v>-0.3950876927070445</v>
                </pt>
                <pt idx="19">
                  <v>-0.3632002094806259</v>
                </pt>
                <pt idx="20">
                  <v>-0.3631077355433997</v>
                </pt>
                <pt idx="21">
                  <v>-0.428100078432708</v>
                </pt>
                <pt idx="22">
                  <v>-0.4834430098819495</v>
                </pt>
                <pt idx="23">
                  <v>-0.4696856708695525</v>
                </pt>
                <pt idx="24">
                  <v>-0.5218818432822118</v>
                </pt>
                <pt idx="25">
                  <v>-0.5700066925252218</v>
                </pt>
                <pt idx="26">
                  <v>-0.5090244309459823</v>
                </pt>
                <pt idx="27">
                  <v>-0.6090626584649378</v>
                </pt>
                <pt idx="28">
                  <v>-0.4637472541090516</v>
                </pt>
                <pt idx="29">
                  <v>-0.6145369020941577</v>
                </pt>
                <pt idx="30">
                  <v>-0.6589710688459822</v>
                </pt>
                <pt idx="31">
                  <v>-0.6497154341299227</v>
                </pt>
                <pt idx="32">
                  <v>-0.6074563888975361</v>
                </pt>
                <pt idx="33">
                  <v>-0.64040704803766</v>
                </pt>
                <pt idx="34">
                  <v>-0.6013472078304568</v>
                </pt>
                <pt idx="35">
                  <v>-0.4774589271475316</v>
                </pt>
                <pt idx="36">
                  <v>-0.407088834400565</v>
                </pt>
                <pt idx="37">
                  <v>-0.3737747685555592</v>
                </pt>
                <pt idx="38">
                  <v>-0.4073001705866761</v>
                </pt>
                <pt idx="39">
                  <v>-0.2350206463341961</v>
                </pt>
                <pt idx="40">
                  <v>-0.1678108493943647</v>
                </pt>
                <pt idx="41">
                  <v>-0.04861277063900961</v>
                </pt>
                <pt idx="42">
                  <v>0.03654708975224477</v>
                </pt>
                <pt idx="43">
                  <v>0.005037919043055909</v>
                </pt>
                <pt idx="44">
                  <v>0.2612241339855519</v>
                </pt>
                <pt idx="45">
                  <v>0.1188441525732997</v>
                </pt>
                <pt idx="46">
                  <v>0.1782530346808295</v>
                </pt>
                <pt idx="47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lineChart>
        <grouping val="standard"/>
        <varyColors val="1"/>
        <ser>
          <idx val="1"/>
          <order val="1"/>
          <tx>
            <strRef>
              <f>'T'!$H$5</f>
              <strCache>
                <ptCount val="1"/>
                <pt idx="0">
                  <v>DNL</v>
                </pt>
              </strCache>
            </strRef>
          </tx>
          <spPr>
            <a:ln xmlns:a="http://schemas.openxmlformats.org/drawingml/2006/main" w="19050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000080"/>
              </a:solidFill>
              <a:ln xmlns:a="http://schemas.openxmlformats.org/drawingml/2006/main" w="6350">
                <a:solidFill>
                  <a:srgbClr val="000080"/>
                </a:solidFill>
                <a:prstDash val="solid"/>
              </a:ln>
            </spPr>
          </marker>
          <val>
            <numRef>
              <f>'T'!$H$7:$H$54</f>
              <numCache>
                <formatCode xml:space="preserve">0.00_ </formatCode>
                <ptCount val="48"/>
                <pt idx="0">
                  <v>-0.1459171463104515</v>
                </pt>
                <pt idx="1">
                  <v>-0.009295357370245061</v>
                </pt>
                <pt idx="2">
                  <v>-0.03037864292466252</v>
                </pt>
                <pt idx="3">
                  <v>-0.01401549587853707</v>
                </pt>
                <pt idx="5">
                  <v>-0.01789649875553578</v>
                </pt>
                <pt idx="7">
                  <v>0.00476016655007977</v>
                </pt>
                <pt idx="9">
                  <v>0.005546856285934654</v>
                </pt>
                <pt idx="11">
                  <v>-0.06709083196427734</v>
                </pt>
                <pt idx="13">
                  <v>-0.05770300074996892</v>
                </pt>
                <pt idx="15">
                  <v>-0.09514943353683741</v>
                </pt>
                <pt idx="17">
                  <v>-0.0842406688394205</v>
                </pt>
                <pt idx="19">
                  <v>9.247393722616737e-05</v>
                </pt>
                <pt idx="21">
                  <v>-0.05534293144924157</v>
                </pt>
                <pt idx="23">
                  <v>-0.05219617241265928</v>
                </pt>
                <pt idx="25">
                  <v>0.06098226157923958</v>
                </pt>
                <pt idx="27">
                  <v>0.1453154043558862</v>
                </pt>
                <pt idx="29">
                  <v>-0.04443416675182454</v>
                </pt>
                <pt idx="31">
                  <v>0.04225904523238666</v>
                </pt>
                <pt idx="33">
                  <v>0.03905984020720321</v>
                </pt>
                <pt idx="35">
                  <v>0.07037009274696659</v>
                </pt>
                <pt idx="37">
                  <v>-0.03352540203111687</v>
                </pt>
                <pt idx="39">
                  <v>0.06720979693983148</v>
                </pt>
                <pt idx="41">
                  <v>0.08515986039125438</v>
                </pt>
                <pt idx="43">
                  <v>0.256186214942496</v>
                </pt>
                <pt idx="45">
                  <v>0.0594088821075298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87964928"/>
        <axId val="1487965408"/>
      </lineChart>
      <catAx>
        <axId val="10"/>
        <scaling>
          <orientation val="minMax"/>
        </scaling>
        <delete val="0"/>
        <axPos val="t"/>
        <majorTickMark val="in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>
                <a:latin typeface="+mn-ea"/>
                <a:ea typeface="+mn-ea"/>
              </a:defRPr>
            </a:pPr>
            <a:r>
              <a:t/>
            </a:r>
            <a:endParaRPr lang="ja-JP"/>
          </a:p>
        </txPr>
        <crossAx val="100"/>
        <crosses val="max"/>
        <auto val="0"/>
        <lblAlgn val="ctr"/>
        <lblOffset val="100"/>
        <tickLblSkip val="2"/>
        <tickMarkSkip val="1"/>
        <noMultiLvlLbl val="1"/>
      </catAx>
      <valAx>
        <axId val="100"/>
        <scaling>
          <orientation val="minMax"/>
          <max val="1.5"/>
          <min val="-1.5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 b="0">
                    <a:latin typeface="+mn-ea"/>
                    <a:ea typeface="+mn-ea"/>
                  </a:defRPr>
                </a:pPr>
                <a:r>
                  <a:rPr lang="en-US" sz="1100" b="0">
                    <a:latin typeface="+mn-ea"/>
                    <a:ea typeface="+mn-ea"/>
                  </a:rPr>
                  <a:t>INL(LSB)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529898533481277"/>
              <y val="0.4287056661207883"/>
            </manualLayout>
          </layout>
          <overlay val="1"/>
        </title>
        <numFmt formatCode="0.00_ " sourceLinked="0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>
                <a:latin typeface="+mn-ea"/>
                <a:ea typeface="+mn-ea"/>
              </a:defRPr>
            </a:pPr>
            <a:r>
              <a:t/>
            </a:r>
            <a:endParaRPr lang="ja-JP"/>
          </a:p>
        </txPr>
        <crossAx val="10"/>
        <crosses val="autoZero"/>
        <crossBetween val="between"/>
        <majorUnit val="0.25"/>
      </valAx>
      <catAx>
        <axId val="1487964928"/>
        <scaling>
          <orientation val="minMax"/>
        </scaling>
        <delete val="1"/>
        <axPos val="t"/>
        <majorTickMark val="out"/>
        <minorTickMark val="none"/>
        <tickLblPos val="nextTo"/>
        <crossAx val="1487965408"/>
        <crosses val="max"/>
        <auto val="1"/>
        <lblAlgn val="ctr"/>
        <lblOffset val="100"/>
        <noMultiLvlLbl val="0"/>
      </catAx>
      <valAx>
        <axId val="1487965408"/>
        <scaling>
          <orientation val="minMax"/>
          <max val="1.5"/>
          <min val="-1.5"/>
        </scaling>
        <delete val="0"/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 b="0">
                    <a:latin typeface="+mn-ea"/>
                    <a:ea typeface="+mn-ea"/>
                  </a:defRPr>
                </a:pPr>
                <a:r>
                  <a:rPr lang="en-US" altLang="ja-JP" sz="1100" b="0">
                    <a:latin typeface="+mn-ea"/>
                    <a:ea typeface="+mn-ea"/>
                  </a:rPr>
                  <a:t>DNL(LSB)</a:t>
                </a:r>
                <a:endParaRPr lang="ja-JP" altLang="en-US" sz="1100" b="0">
                  <a:latin typeface="+mn-ea"/>
                  <a:ea typeface="+mn-ea"/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9472552348613468"/>
              <y val="0.427278004903671"/>
            </manualLayout>
          </layout>
          <overlay val="0"/>
        </title>
        <numFmt formatCode="0.00_ " sourceLinked="1"/>
        <majorTickMark val="in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>
                <a:latin typeface="+mn-ea"/>
                <a:ea typeface="+mn-ea"/>
              </a:defRPr>
            </a:pPr>
            <a:r>
              <a:t/>
            </a:r>
            <a:endParaRPr lang="ja-JP"/>
          </a:p>
        </txPr>
        <crossAx val="1487964928"/>
        <crosses val="max"/>
        <crossBetween val="between"/>
        <majorUnit val="0.25"/>
      </valAx>
    </plotArea>
    <legend>
      <legendPos val="b"/>
      <overlay val="0"/>
      <spPr>
        <a:ln xmlns:a="http://schemas.openxmlformats.org/drawingml/2006/main" w="3175">
          <a:solidFill>
            <a:srgbClr val="000000"/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342901</colOff>
      <row>0</row>
      <rowOff>0</rowOff>
    </from>
    <ext cx="6191250" cy="4981574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58"/>
  <sheetViews>
    <sheetView tabSelected="1" workbookViewId="0">
      <selection activeCell="T21" sqref="T21"/>
    </sheetView>
  </sheetViews>
  <sheetFormatPr baseColWidth="8" defaultRowHeight="13.2"/>
  <cols>
    <col width="5" customWidth="1" min="1" max="1"/>
    <col hidden="1" width="12" customWidth="1" min="2" max="3"/>
    <col hidden="1" width="13" customWidth="1" min="3" max="3"/>
    <col width="10" customWidth="1" min="4" max="4"/>
    <col width="15" customWidth="1" min="5" max="8"/>
  </cols>
  <sheetData>
    <row r="3">
      <c r="E3" s="1" t="inlineStr">
        <is>
          <t>理論直線係数</t>
        </is>
      </c>
      <c r="F3" s="2">
        <f>(E54-E7)/(C54-C7)</f>
        <v/>
      </c>
    </row>
    <row r="5">
      <c r="A5" s="26" t="inlineStr">
        <is>
          <t>№</t>
        </is>
      </c>
      <c r="B5" s="3" t="n"/>
      <c r="C5" s="3" t="n"/>
      <c r="D5" s="28" t="inlineStr">
        <is>
          <t>コード</t>
        </is>
      </c>
      <c r="E5" s="28" t="inlineStr">
        <is>
          <t>測定電圧(V)</t>
        </is>
      </c>
      <c r="F5" s="28" t="inlineStr">
        <is>
          <t>理論電圧(V)</t>
        </is>
      </c>
      <c r="G5" s="4" t="inlineStr">
        <is>
          <t>INL</t>
        </is>
      </c>
      <c r="H5" s="5" t="inlineStr">
        <is>
          <t>DNL</t>
        </is>
      </c>
    </row>
    <row r="6">
      <c r="A6" s="32" t="n"/>
      <c r="B6" s="6" t="inlineStr">
        <is>
          <t>設定DAC値</t>
        </is>
      </c>
      <c r="C6" s="29" t="n"/>
      <c r="D6" s="33" t="n"/>
      <c r="E6" s="33" t="n"/>
      <c r="F6" s="33" t="n"/>
      <c r="G6" s="6" t="inlineStr">
        <is>
          <t>誤差(LSB)</t>
        </is>
      </c>
      <c r="H6" s="8" t="inlineStr">
        <is>
          <t>誤差(LSB)</t>
        </is>
      </c>
    </row>
    <row r="7">
      <c r="A7" s="9" t="n">
        <v>1</v>
      </c>
      <c r="B7" s="10" t="n">
        <v>-524288</v>
      </c>
      <c r="C7" s="10" t="n">
        <v>0</v>
      </c>
      <c r="D7" s="10" t="inlineStr">
        <is>
          <t>00000</t>
        </is>
      </c>
      <c r="E7" s="34" t="n"/>
      <c r="F7" s="34">
        <f>$F$3*C7+$E$7</f>
        <v/>
      </c>
      <c r="G7" s="35">
        <f>(E7-F7)/$F$3</f>
        <v/>
      </c>
      <c r="H7" s="36">
        <f>G8-G7</f>
        <v/>
      </c>
    </row>
    <row r="8">
      <c r="A8" s="9" t="n">
        <v>2</v>
      </c>
      <c r="B8" s="10" t="n">
        <v>-524287</v>
      </c>
      <c r="C8" s="10" t="n">
        <v>1</v>
      </c>
      <c r="D8" s="10" t="inlineStr">
        <is>
          <t>00001</t>
        </is>
      </c>
      <c r="E8" s="34" t="n"/>
      <c r="F8" s="34">
        <f>$F$3*C8+$E$7</f>
        <v/>
      </c>
      <c r="G8" s="35">
        <f>(E8-F8)/$F$3</f>
        <v/>
      </c>
      <c r="H8" s="36">
        <f>G9-G8</f>
        <v/>
      </c>
    </row>
    <row r="9">
      <c r="A9" s="9" t="n">
        <v>3</v>
      </c>
      <c r="B9" s="10" t="n">
        <v>-524286</v>
      </c>
      <c r="C9" s="10" t="n">
        <v>2</v>
      </c>
      <c r="D9" s="10" t="inlineStr">
        <is>
          <t>00002</t>
        </is>
      </c>
      <c r="E9" s="34" t="n"/>
      <c r="F9" s="34">
        <f>$F$3*C9+$E$7</f>
        <v/>
      </c>
      <c r="G9" s="35">
        <f>(E9-F9)/$F$3</f>
        <v/>
      </c>
      <c r="H9" s="36">
        <f>G10-G9</f>
        <v/>
      </c>
    </row>
    <row r="10">
      <c r="A10" s="9" t="n">
        <v>4</v>
      </c>
      <c r="B10" s="10" t="n">
        <v>-524285</v>
      </c>
      <c r="C10" s="10" t="n">
        <v>3</v>
      </c>
      <c r="D10" s="10" t="inlineStr">
        <is>
          <t>00003</t>
        </is>
      </c>
      <c r="E10" s="34" t="n"/>
      <c r="F10" s="34">
        <f>$F$3*C10+$E$7</f>
        <v/>
      </c>
      <c r="G10" s="35">
        <f>(E10-F10)/$F$3</f>
        <v/>
      </c>
      <c r="H10" s="36">
        <f>G11-G10</f>
        <v/>
      </c>
    </row>
    <row r="11">
      <c r="A11" s="9" t="n">
        <v>5</v>
      </c>
      <c r="B11" s="10" t="n">
        <v>-524284</v>
      </c>
      <c r="C11" s="10" t="n">
        <v>4</v>
      </c>
      <c r="D11" s="10" t="inlineStr">
        <is>
          <t>00004</t>
        </is>
      </c>
      <c r="E11" s="34" t="n"/>
      <c r="F11" s="34">
        <f>$F$3*C11+$E$7</f>
        <v/>
      </c>
      <c r="G11" s="35">
        <f>(E11-F11)/$F$3</f>
        <v/>
      </c>
      <c r="H11" s="14" t="n"/>
    </row>
    <row r="12">
      <c r="A12" s="9" t="n">
        <v>6</v>
      </c>
      <c r="B12" s="10" t="n">
        <v>-524281</v>
      </c>
      <c r="C12" s="10" t="n">
        <v>7</v>
      </c>
      <c r="D12" s="10" t="inlineStr">
        <is>
          <t>00007</t>
        </is>
      </c>
      <c r="E12" s="34" t="n"/>
      <c r="F12" s="34">
        <f>$F$3*C12+$E$7</f>
        <v/>
      </c>
      <c r="G12" s="35">
        <f>(E12-F12)/$F$3</f>
        <v/>
      </c>
      <c r="H12" s="36">
        <f>G13-G12</f>
        <v/>
      </c>
    </row>
    <row r="13">
      <c r="A13" s="9" t="n">
        <v>7</v>
      </c>
      <c r="B13" s="10" t="n">
        <v>-524280</v>
      </c>
      <c r="C13" s="10" t="n">
        <v>8</v>
      </c>
      <c r="D13" s="10" t="inlineStr">
        <is>
          <t>00008</t>
        </is>
      </c>
      <c r="E13" s="34" t="n"/>
      <c r="F13" s="34">
        <f>$F$3*C13+$E$7</f>
        <v/>
      </c>
      <c r="G13" s="35">
        <f>(E13-F13)/$F$3</f>
        <v/>
      </c>
      <c r="H13" s="14" t="n"/>
    </row>
    <row r="14">
      <c r="A14" s="9" t="n">
        <v>8</v>
      </c>
      <c r="B14" s="10" t="n">
        <v>-524273</v>
      </c>
      <c r="C14" s="10" t="n">
        <v>15</v>
      </c>
      <c r="D14" s="10" t="inlineStr">
        <is>
          <t>0000F</t>
        </is>
      </c>
      <c r="E14" s="34" t="n"/>
      <c r="F14" s="34">
        <f>$F$3*C14+$E$7</f>
        <v/>
      </c>
      <c r="G14" s="35">
        <f>(E14-F14)/$F$3</f>
        <v/>
      </c>
      <c r="H14" s="36">
        <f>G15-G14</f>
        <v/>
      </c>
    </row>
    <row r="15">
      <c r="A15" s="9" t="n">
        <v>9</v>
      </c>
      <c r="B15" s="10" t="n">
        <v>-524272</v>
      </c>
      <c r="C15" s="10" t="n">
        <v>16</v>
      </c>
      <c r="D15" s="10" t="inlineStr">
        <is>
          <t>00010</t>
        </is>
      </c>
      <c r="E15" s="34" t="n"/>
      <c r="F15" s="34">
        <f>$F$3*C15+$E$7</f>
        <v/>
      </c>
      <c r="G15" s="35">
        <f>(E15-F15)/$F$3</f>
        <v/>
      </c>
      <c r="H15" s="14" t="n"/>
    </row>
    <row r="16">
      <c r="A16" s="9" t="n">
        <v>10</v>
      </c>
      <c r="B16" s="10" t="n">
        <v>-524257</v>
      </c>
      <c r="C16" s="10" t="n">
        <v>31</v>
      </c>
      <c r="D16" s="10" t="inlineStr">
        <is>
          <t>0001F</t>
        </is>
      </c>
      <c r="E16" s="34" t="n"/>
      <c r="F16" s="34">
        <f>$F$3*C16+$E$7</f>
        <v/>
      </c>
      <c r="G16" s="35">
        <f>(E16-F16)/$F$3</f>
        <v/>
      </c>
      <c r="H16" s="36">
        <f>G17-G16</f>
        <v/>
      </c>
    </row>
    <row r="17">
      <c r="A17" s="9" t="n">
        <v>11</v>
      </c>
      <c r="B17" s="10" t="n">
        <v>-524256</v>
      </c>
      <c r="C17" s="10" t="n">
        <v>32</v>
      </c>
      <c r="D17" s="10" t="inlineStr">
        <is>
          <t>00020</t>
        </is>
      </c>
      <c r="E17" s="34" t="n"/>
      <c r="F17" s="34">
        <f>$F$3*C17+$E$7</f>
        <v/>
      </c>
      <c r="G17" s="35">
        <f>(E17-F17)/$F$3</f>
        <v/>
      </c>
      <c r="H17" s="14" t="n"/>
    </row>
    <row r="18">
      <c r="A18" s="9" t="n">
        <v>12</v>
      </c>
      <c r="B18" s="10" t="n">
        <v>-524225</v>
      </c>
      <c r="C18" s="10" t="n">
        <v>63</v>
      </c>
      <c r="D18" s="10" t="inlineStr">
        <is>
          <t>0003F</t>
        </is>
      </c>
      <c r="E18" s="34" t="n"/>
      <c r="F18" s="34">
        <f>$F$3*C18+$E$7</f>
        <v/>
      </c>
      <c r="G18" s="35">
        <f>(E18-F18)/$F$3</f>
        <v/>
      </c>
      <c r="H18" s="36">
        <f>G19-G18</f>
        <v/>
      </c>
    </row>
    <row r="19">
      <c r="A19" s="9" t="n">
        <v>13</v>
      </c>
      <c r="B19" s="10" t="n">
        <v>-524224</v>
      </c>
      <c r="C19" s="10" t="n">
        <v>64</v>
      </c>
      <c r="D19" s="10" t="inlineStr">
        <is>
          <t>00040</t>
        </is>
      </c>
      <c r="E19" s="34" t="n"/>
      <c r="F19" s="34">
        <f>$F$3*C19+$E$7</f>
        <v/>
      </c>
      <c r="G19" s="35">
        <f>(E19-F19)/$F$3</f>
        <v/>
      </c>
      <c r="H19" s="14" t="n"/>
    </row>
    <row r="20">
      <c r="A20" s="9" t="n">
        <v>14</v>
      </c>
      <c r="B20" s="10" t="n">
        <v>-524161</v>
      </c>
      <c r="C20" s="10" t="n">
        <v>127</v>
      </c>
      <c r="D20" s="10" t="inlineStr">
        <is>
          <t>0007F</t>
        </is>
      </c>
      <c r="E20" s="34" t="n"/>
      <c r="F20" s="34">
        <f>$F$3*C20+$E$7</f>
        <v/>
      </c>
      <c r="G20" s="35">
        <f>(E20-F20)/$F$3</f>
        <v/>
      </c>
      <c r="H20" s="36">
        <f>G21-G20</f>
        <v/>
      </c>
    </row>
    <row r="21">
      <c r="A21" s="9" t="n">
        <v>15</v>
      </c>
      <c r="B21" s="10" t="n">
        <v>-524160</v>
      </c>
      <c r="C21" s="10" t="n">
        <v>128</v>
      </c>
      <c r="D21" s="10" t="inlineStr">
        <is>
          <t>00080</t>
        </is>
      </c>
      <c r="E21" s="34" t="n"/>
      <c r="F21" s="34">
        <f>$F$3*C21+$E$7</f>
        <v/>
      </c>
      <c r="G21" s="35">
        <f>(E21-F21)/$F$3</f>
        <v/>
      </c>
      <c r="H21" s="14" t="n"/>
    </row>
    <row r="22">
      <c r="A22" s="9" t="n">
        <v>16</v>
      </c>
      <c r="B22" s="10" t="n">
        <v>-524033</v>
      </c>
      <c r="C22" s="10" t="n">
        <v>255</v>
      </c>
      <c r="D22" s="10" t="inlineStr">
        <is>
          <t>000FF</t>
        </is>
      </c>
      <c r="E22" s="34" t="n"/>
      <c r="F22" s="34">
        <f>$F$3*C22+$E$7</f>
        <v/>
      </c>
      <c r="G22" s="35">
        <f>(E22-F22)/$F$3</f>
        <v/>
      </c>
      <c r="H22" s="36">
        <f>G23-G22</f>
        <v/>
      </c>
    </row>
    <row r="23">
      <c r="A23" s="9" t="n">
        <v>17</v>
      </c>
      <c r="B23" s="10" t="n">
        <v>-524032</v>
      </c>
      <c r="C23" s="10" t="n">
        <v>256</v>
      </c>
      <c r="D23" s="10" t="inlineStr">
        <is>
          <t>00100</t>
        </is>
      </c>
      <c r="E23" s="34" t="n"/>
      <c r="F23" s="34">
        <f>$F$3*C23+$E$7</f>
        <v/>
      </c>
      <c r="G23" s="35">
        <f>(E23-F23)/$F$3</f>
        <v/>
      </c>
      <c r="H23" s="14" t="n"/>
    </row>
    <row r="24">
      <c r="A24" s="9" t="n">
        <v>18</v>
      </c>
      <c r="B24" s="10" t="n">
        <v>-523777</v>
      </c>
      <c r="C24" s="10" t="n">
        <v>511</v>
      </c>
      <c r="D24" s="10" t="inlineStr">
        <is>
          <t>001FF</t>
        </is>
      </c>
      <c r="E24" s="34" t="n"/>
      <c r="F24" s="34">
        <f>$F$3*C24+$E$7</f>
        <v/>
      </c>
      <c r="G24" s="35">
        <f>(E24-F24)/$F$3</f>
        <v/>
      </c>
      <c r="H24" s="36">
        <f>G25-G24</f>
        <v/>
      </c>
    </row>
    <row r="25">
      <c r="A25" s="9" t="n">
        <v>19</v>
      </c>
      <c r="B25" s="10" t="n">
        <v>-523776</v>
      </c>
      <c r="C25" s="10" t="n">
        <v>512</v>
      </c>
      <c r="D25" s="10" t="inlineStr">
        <is>
          <t>00200</t>
        </is>
      </c>
      <c r="E25" s="34" t="n"/>
      <c r="F25" s="34">
        <f>$F$3*C25+$E$7</f>
        <v/>
      </c>
      <c r="G25" s="35">
        <f>(E25-F25)/$F$3</f>
        <v/>
      </c>
      <c r="H25" s="14" t="n"/>
    </row>
    <row r="26">
      <c r="A26" s="9" t="n">
        <v>20</v>
      </c>
      <c r="B26" s="10" t="n">
        <v>-523265</v>
      </c>
      <c r="C26" s="10" t="n">
        <v>1023</v>
      </c>
      <c r="D26" s="10" t="inlineStr">
        <is>
          <t>003FF</t>
        </is>
      </c>
      <c r="E26" s="34" t="n"/>
      <c r="F26" s="34">
        <f>$F$3*C26+$E$7</f>
        <v/>
      </c>
      <c r="G26" s="35">
        <f>(E26-F26)/$F$3</f>
        <v/>
      </c>
      <c r="H26" s="36">
        <f>G27-G26</f>
        <v/>
      </c>
    </row>
    <row r="27">
      <c r="A27" s="9" t="n">
        <v>21</v>
      </c>
      <c r="B27" s="10" t="n">
        <v>-523264</v>
      </c>
      <c r="C27" s="10" t="n">
        <v>1024</v>
      </c>
      <c r="D27" s="10" t="inlineStr">
        <is>
          <t>00400</t>
        </is>
      </c>
      <c r="E27" s="34" t="n"/>
      <c r="F27" s="34">
        <f>$F$3*C27+$E$7</f>
        <v/>
      </c>
      <c r="G27" s="35">
        <f>(E27-F27)/$F$3</f>
        <v/>
      </c>
      <c r="H27" s="14" t="n"/>
    </row>
    <row r="28">
      <c r="A28" s="9" t="n">
        <v>22</v>
      </c>
      <c r="B28" s="10" t="n">
        <v>-522241</v>
      </c>
      <c r="C28" s="10" t="n">
        <v>2047</v>
      </c>
      <c r="D28" s="10" t="inlineStr">
        <is>
          <t>007FF</t>
        </is>
      </c>
      <c r="E28" s="34" t="n"/>
      <c r="F28" s="34">
        <f>$F$3*C28+$E$7</f>
        <v/>
      </c>
      <c r="G28" s="35">
        <f>(E28-F28)/$F$3</f>
        <v/>
      </c>
      <c r="H28" s="36">
        <f>G29-G28</f>
        <v/>
      </c>
    </row>
    <row r="29">
      <c r="A29" s="9" t="n">
        <v>23</v>
      </c>
      <c r="B29" s="10" t="n">
        <v>-522240</v>
      </c>
      <c r="C29" s="10" t="n">
        <v>2048</v>
      </c>
      <c r="D29" s="10" t="inlineStr">
        <is>
          <t>00800</t>
        </is>
      </c>
      <c r="E29" s="34" t="n"/>
      <c r="F29" s="34">
        <f>$F$3*C29+$E$7</f>
        <v/>
      </c>
      <c r="G29" s="35">
        <f>(E29-F29)/$F$3</f>
        <v/>
      </c>
      <c r="H29" s="14" t="n"/>
    </row>
    <row r="30">
      <c r="A30" s="9" t="n">
        <v>24</v>
      </c>
      <c r="B30" s="10" t="n">
        <v>-520193</v>
      </c>
      <c r="C30" s="10" t="n">
        <v>4095</v>
      </c>
      <c r="D30" s="10" t="inlineStr">
        <is>
          <t>00FFF</t>
        </is>
      </c>
      <c r="E30" s="34" t="n"/>
      <c r="F30" s="34">
        <f>$F$3*C30+$E$7</f>
        <v/>
      </c>
      <c r="G30" s="35">
        <f>(E30-F30)/$F$3</f>
        <v/>
      </c>
      <c r="H30" s="36">
        <f>G31-G30</f>
        <v/>
      </c>
    </row>
    <row r="31">
      <c r="A31" s="9" t="n">
        <v>25</v>
      </c>
      <c r="B31" s="10" t="n">
        <v>-520192</v>
      </c>
      <c r="C31" s="10" t="n">
        <v>4096</v>
      </c>
      <c r="D31" s="10" t="inlineStr">
        <is>
          <t>01000</t>
        </is>
      </c>
      <c r="E31" s="34" t="n"/>
      <c r="F31" s="34">
        <f>$F$3*C31+$E$7</f>
        <v/>
      </c>
      <c r="G31" s="35">
        <f>(E31-F31)/$F$3</f>
        <v/>
      </c>
      <c r="H31" s="14" t="n"/>
    </row>
    <row r="32">
      <c r="A32" s="9" t="n">
        <v>26</v>
      </c>
      <c r="B32" s="10" t="n">
        <v>-516097</v>
      </c>
      <c r="C32" s="10" t="n">
        <v>8191</v>
      </c>
      <c r="D32" s="10" t="inlineStr">
        <is>
          <t>01FFF</t>
        </is>
      </c>
      <c r="E32" s="34" t="n"/>
      <c r="F32" s="34">
        <f>$F$3*C32+$E$7</f>
        <v/>
      </c>
      <c r="G32" s="35">
        <f>(E32-F32)/$F$3</f>
        <v/>
      </c>
      <c r="H32" s="36">
        <f>G33-G32</f>
        <v/>
      </c>
    </row>
    <row r="33">
      <c r="A33" s="9" t="n">
        <v>27</v>
      </c>
      <c r="B33" s="10" t="n">
        <v>-516096</v>
      </c>
      <c r="C33" s="10" t="n">
        <v>8192</v>
      </c>
      <c r="D33" s="10" t="inlineStr">
        <is>
          <t>02000</t>
        </is>
      </c>
      <c r="E33" s="34" t="n"/>
      <c r="F33" s="34">
        <f>$F$3*C33+$E$7</f>
        <v/>
      </c>
      <c r="G33" s="35">
        <f>(E33-F33)/$F$3</f>
        <v/>
      </c>
      <c r="H33" s="14" t="n"/>
    </row>
    <row r="34">
      <c r="A34" s="9" t="n">
        <v>28</v>
      </c>
      <c r="B34" s="10" t="n">
        <v>-507905</v>
      </c>
      <c r="C34" s="10" t="n">
        <v>16383</v>
      </c>
      <c r="D34" s="10" t="inlineStr">
        <is>
          <t>03FFF</t>
        </is>
      </c>
      <c r="E34" s="34" t="n"/>
      <c r="F34" s="34">
        <f>$F$3*C34+$E$7</f>
        <v/>
      </c>
      <c r="G34" s="35">
        <f>(E34-F34)/$F$3</f>
        <v/>
      </c>
      <c r="H34" s="36">
        <f>G35-G34</f>
        <v/>
      </c>
    </row>
    <row r="35">
      <c r="A35" s="9" t="n">
        <v>29</v>
      </c>
      <c r="B35" s="10" t="n">
        <v>-507904</v>
      </c>
      <c r="C35" s="10" t="n">
        <v>16384</v>
      </c>
      <c r="D35" s="10" t="inlineStr">
        <is>
          <t>04000</t>
        </is>
      </c>
      <c r="E35" s="34" t="n"/>
      <c r="F35" s="34">
        <f>$F$3*C35+$E$7</f>
        <v/>
      </c>
      <c r="G35" s="35">
        <f>(E35-F35)/$F$3</f>
        <v/>
      </c>
      <c r="H35" s="14" t="n"/>
    </row>
    <row r="36">
      <c r="A36" s="9" t="n">
        <v>30</v>
      </c>
      <c r="B36" s="10" t="n">
        <v>-491521</v>
      </c>
      <c r="C36" s="10" t="n">
        <v>32767</v>
      </c>
      <c r="D36" s="10" t="inlineStr">
        <is>
          <t>07FFF</t>
        </is>
      </c>
      <c r="E36" s="34" t="n"/>
      <c r="F36" s="34">
        <f>$F$3*C36+$E$7</f>
        <v/>
      </c>
      <c r="G36" s="35">
        <f>(E36-F36)/$F$3</f>
        <v/>
      </c>
      <c r="H36" s="36">
        <f>G37-G36</f>
        <v/>
      </c>
    </row>
    <row r="37">
      <c r="A37" s="9" t="n">
        <v>31</v>
      </c>
      <c r="B37" s="10" t="n">
        <v>-491520</v>
      </c>
      <c r="C37" s="10" t="n">
        <v>32768</v>
      </c>
      <c r="D37" s="10" t="inlineStr">
        <is>
          <t>08000</t>
        </is>
      </c>
      <c r="E37" s="34" t="n"/>
      <c r="F37" s="34">
        <f>$F$3*C37+$E$7</f>
        <v/>
      </c>
      <c r="G37" s="35">
        <f>(E37-F37)/$F$3</f>
        <v/>
      </c>
      <c r="H37" s="14" t="n"/>
    </row>
    <row r="38">
      <c r="A38" s="9" t="n">
        <v>32</v>
      </c>
      <c r="B38" s="10" t="n">
        <v>-458753</v>
      </c>
      <c r="C38" s="10" t="n">
        <v>65535</v>
      </c>
      <c r="D38" s="10" t="inlineStr">
        <is>
          <t>0FFFF</t>
        </is>
      </c>
      <c r="E38" s="34" t="n"/>
      <c r="F38" s="34">
        <f>$F$3*C38+$E$7</f>
        <v/>
      </c>
      <c r="G38" s="35">
        <f>(E38-F38)/$F$3</f>
        <v/>
      </c>
      <c r="H38" s="36">
        <f>G39-G38</f>
        <v/>
      </c>
    </row>
    <row r="39">
      <c r="A39" s="9" t="n">
        <v>33</v>
      </c>
      <c r="B39" s="10" t="n">
        <v>-458752</v>
      </c>
      <c r="C39" s="10" t="n">
        <v>65536</v>
      </c>
      <c r="D39" s="10" t="inlineStr">
        <is>
          <t>10000</t>
        </is>
      </c>
      <c r="E39" s="34" t="n"/>
      <c r="F39" s="34">
        <f>$F$3*C39+$E$7</f>
        <v/>
      </c>
      <c r="G39" s="35">
        <f>(E39-F39)/$F$3</f>
        <v/>
      </c>
      <c r="H39" s="14" t="n"/>
    </row>
    <row r="40">
      <c r="A40" s="9" t="n">
        <v>34</v>
      </c>
      <c r="B40" s="10" t="n">
        <v>-393217</v>
      </c>
      <c r="C40" s="10" t="n">
        <v>131071</v>
      </c>
      <c r="D40" s="10" t="inlineStr">
        <is>
          <t>1FFFF</t>
        </is>
      </c>
      <c r="E40" s="34" t="n"/>
      <c r="F40" s="34">
        <f>$F$3*C40+$E$7</f>
        <v/>
      </c>
      <c r="G40" s="35">
        <f>(E40-F40)/$F$3</f>
        <v/>
      </c>
      <c r="H40" s="36">
        <f>G41-G40</f>
        <v/>
      </c>
    </row>
    <row r="41">
      <c r="A41" s="9" t="n">
        <v>35</v>
      </c>
      <c r="B41" s="10" t="n">
        <v>-393216</v>
      </c>
      <c r="C41" s="10" t="n">
        <v>131072</v>
      </c>
      <c r="D41" s="10" t="inlineStr">
        <is>
          <t>20000</t>
        </is>
      </c>
      <c r="E41" s="34" t="n"/>
      <c r="F41" s="34">
        <f>$F$3*C41+$E$7</f>
        <v/>
      </c>
      <c r="G41" s="35">
        <f>(E41-F41)/$F$3</f>
        <v/>
      </c>
      <c r="H41" s="14" t="n"/>
    </row>
    <row r="42">
      <c r="A42" s="9" t="n">
        <v>36</v>
      </c>
      <c r="B42" s="10" t="n">
        <v>-262145</v>
      </c>
      <c r="C42" s="10" t="n">
        <v>262143</v>
      </c>
      <c r="D42" s="10" t="inlineStr">
        <is>
          <t>3FFFF</t>
        </is>
      </c>
      <c r="E42" s="34" t="n"/>
      <c r="F42" s="34">
        <f>$F$3*C42+$E$7</f>
        <v/>
      </c>
      <c r="G42" s="35">
        <f>(E42-F42)/$F$3</f>
        <v/>
      </c>
      <c r="H42" s="36">
        <f>G43-G42</f>
        <v/>
      </c>
    </row>
    <row r="43">
      <c r="A43" s="9" t="n">
        <v>37</v>
      </c>
      <c r="B43" s="10" t="n">
        <v>-262144</v>
      </c>
      <c r="C43" s="10" t="n">
        <v>262144</v>
      </c>
      <c r="D43" s="10" t="inlineStr">
        <is>
          <t>40000</t>
        </is>
      </c>
      <c r="E43" s="34" t="n"/>
      <c r="F43" s="34">
        <f>$F$3*C43+$E$7</f>
        <v/>
      </c>
      <c r="G43" s="35">
        <f>(E43-F43)/$F$3</f>
        <v/>
      </c>
      <c r="H43" s="14" t="n"/>
    </row>
    <row r="44">
      <c r="A44" s="9" t="n">
        <v>38</v>
      </c>
      <c r="B44" s="10" t="n">
        <v>-131073</v>
      </c>
      <c r="C44" s="10" t="n">
        <v>393215</v>
      </c>
      <c r="D44" s="10" t="inlineStr">
        <is>
          <t>5FFFF</t>
        </is>
      </c>
      <c r="E44" s="34" t="n"/>
      <c r="F44" s="34">
        <f>$F$3*C44+$E$7</f>
        <v/>
      </c>
      <c r="G44" s="35">
        <f>(E44-F44)/$F$3</f>
        <v/>
      </c>
      <c r="H44" s="36">
        <f>G45-G44</f>
        <v/>
      </c>
    </row>
    <row r="45">
      <c r="A45" s="9" t="n">
        <v>39</v>
      </c>
      <c r="B45" s="10" t="n">
        <v>-131072</v>
      </c>
      <c r="C45" s="10" t="n">
        <v>393216</v>
      </c>
      <c r="D45" s="10" t="inlineStr">
        <is>
          <t>60000</t>
        </is>
      </c>
      <c r="E45" s="34" t="n"/>
      <c r="F45" s="34">
        <f>$F$3*C45+$E$7</f>
        <v/>
      </c>
      <c r="G45" s="35">
        <f>(E45-F45)/$F$3</f>
        <v/>
      </c>
      <c r="H45" s="14" t="n"/>
    </row>
    <row r="46">
      <c r="A46" s="9" t="n">
        <v>40</v>
      </c>
      <c r="B46" s="10" t="n">
        <v>-1</v>
      </c>
      <c r="C46" s="10" t="n">
        <v>524287</v>
      </c>
      <c r="D46" s="10" t="inlineStr">
        <is>
          <t>7FFFF</t>
        </is>
      </c>
      <c r="E46" s="34" t="n"/>
      <c r="F46" s="34">
        <f>$F$3*C46+$E$7</f>
        <v/>
      </c>
      <c r="G46" s="35">
        <f>(E46-F46)/$F$3</f>
        <v/>
      </c>
      <c r="H46" s="36">
        <f>G47-G46</f>
        <v/>
      </c>
    </row>
    <row r="47">
      <c r="A47" s="9" t="n">
        <v>41</v>
      </c>
      <c r="B47" s="10" t="n">
        <v>0</v>
      </c>
      <c r="C47" s="10" t="n">
        <v>524288</v>
      </c>
      <c r="D47" s="10" t="inlineStr">
        <is>
          <t>80000</t>
        </is>
      </c>
      <c r="E47" s="34" t="n"/>
      <c r="F47" s="34">
        <f>$F$3*C47+$E$7</f>
        <v/>
      </c>
      <c r="G47" s="35">
        <f>(E47-F47)/$F$3</f>
        <v/>
      </c>
      <c r="H47" s="14" t="n"/>
    </row>
    <row r="48">
      <c r="A48" s="9" t="n">
        <v>42</v>
      </c>
      <c r="B48" s="10" t="n">
        <v>131071</v>
      </c>
      <c r="C48" s="10" t="n">
        <v>655359</v>
      </c>
      <c r="D48" s="10" t="inlineStr">
        <is>
          <t>9FFFF</t>
        </is>
      </c>
      <c r="E48" s="34" t="n"/>
      <c r="F48" s="34">
        <f>$F$3*C48+$E$7</f>
        <v/>
      </c>
      <c r="G48" s="35">
        <f>(E48-F48)/$F$3</f>
        <v/>
      </c>
      <c r="H48" s="36">
        <f>G49-G48</f>
        <v/>
      </c>
    </row>
    <row r="49">
      <c r="A49" s="9" t="n">
        <v>43</v>
      </c>
      <c r="B49" s="10" t="n">
        <v>131072</v>
      </c>
      <c r="C49" s="10" t="n">
        <v>655360</v>
      </c>
      <c r="D49" s="10" t="inlineStr">
        <is>
          <t>A0000</t>
        </is>
      </c>
      <c r="E49" s="34" t="n"/>
      <c r="F49" s="34">
        <f>$F$3*C49+$E$7</f>
        <v/>
      </c>
      <c r="G49" s="35">
        <f>(E49-F49)/$F$3</f>
        <v/>
      </c>
      <c r="H49" s="14" t="n"/>
    </row>
    <row r="50">
      <c r="A50" s="9" t="n">
        <v>44</v>
      </c>
      <c r="B50" s="10" t="n">
        <v>262143</v>
      </c>
      <c r="C50" s="10" t="n">
        <v>786431</v>
      </c>
      <c r="D50" s="10" t="inlineStr">
        <is>
          <t>BFFFF</t>
        </is>
      </c>
      <c r="E50" s="34" t="n"/>
      <c r="F50" s="34">
        <f>$F$3*C50+$E$7</f>
        <v/>
      </c>
      <c r="G50" s="35">
        <f>(E50-F50)/$F$3</f>
        <v/>
      </c>
      <c r="H50" s="36">
        <f>G51-G50</f>
        <v/>
      </c>
    </row>
    <row r="51">
      <c r="A51" s="9" t="n">
        <v>45</v>
      </c>
      <c r="B51" s="10" t="n">
        <v>262144</v>
      </c>
      <c r="C51" s="10" t="n">
        <v>786432</v>
      </c>
      <c r="D51" s="10" t="inlineStr">
        <is>
          <t>C0000</t>
        </is>
      </c>
      <c r="E51" s="34" t="n"/>
      <c r="F51" s="34">
        <f>$F$3*C51+$E$7</f>
        <v/>
      </c>
      <c r="G51" s="35">
        <f>(E51-F51)/$F$3</f>
        <v/>
      </c>
      <c r="H51" s="14" t="n"/>
    </row>
    <row r="52">
      <c r="A52" s="9" t="n">
        <v>46</v>
      </c>
      <c r="B52" s="10" t="n">
        <v>393215</v>
      </c>
      <c r="C52" s="10" t="n">
        <v>917503</v>
      </c>
      <c r="D52" s="10" t="inlineStr">
        <is>
          <t>DFFFF</t>
        </is>
      </c>
      <c r="E52" s="34" t="n"/>
      <c r="F52" s="34">
        <f>$F$3*C52+$E$7</f>
        <v/>
      </c>
      <c r="G52" s="35">
        <f>(E52-F52)/$F$3</f>
        <v/>
      </c>
      <c r="H52" s="36">
        <f>G53-G52</f>
        <v/>
      </c>
    </row>
    <row r="53">
      <c r="A53" s="9" t="n">
        <v>47</v>
      </c>
      <c r="B53" s="10" t="n">
        <v>393216</v>
      </c>
      <c r="C53" s="10" t="n">
        <v>917504</v>
      </c>
      <c r="D53" s="10" t="inlineStr">
        <is>
          <t>E0000</t>
        </is>
      </c>
      <c r="E53" s="34" t="n"/>
      <c r="F53" s="34">
        <f>$F$3*C53+$E$7</f>
        <v/>
      </c>
      <c r="G53" s="35">
        <f>(E53-F53)/$F$3</f>
        <v/>
      </c>
      <c r="H53" s="14" t="n"/>
    </row>
    <row r="54">
      <c r="A54" s="15" t="n">
        <v>48</v>
      </c>
      <c r="B54" s="16" t="n">
        <v>524287</v>
      </c>
      <c r="C54" s="16" t="n">
        <v>1048575</v>
      </c>
      <c r="D54" s="16" t="inlineStr">
        <is>
          <t>FFFFF</t>
        </is>
      </c>
      <c r="E54" s="37" t="n"/>
      <c r="F54" s="37">
        <f>$F$3*C54+$E$7</f>
        <v/>
      </c>
      <c r="G54" s="38">
        <f>(E54-F54)/$F$3</f>
        <v/>
      </c>
      <c r="H54" s="31" t="n"/>
    </row>
    <row r="55">
      <c r="F55" s="20" t="inlineStr">
        <is>
          <t>+最大誤差</t>
        </is>
      </c>
      <c r="G55" s="39">
        <f>MAX(G7:G54)</f>
        <v/>
      </c>
      <c r="H55" s="40">
        <f>MAX(H7:H54)</f>
        <v/>
      </c>
    </row>
    <row r="56">
      <c r="F56" s="9" t="inlineStr">
        <is>
          <t>-最大誤差</t>
        </is>
      </c>
      <c r="G56" s="41">
        <f>MIN(G7:G54)</f>
        <v/>
      </c>
      <c r="H56" s="42">
        <f>MIN(H7:H54)</f>
        <v/>
      </c>
    </row>
    <row r="57">
      <c r="F57" s="9" t="inlineStr">
        <is>
          <t>判定基準</t>
        </is>
      </c>
      <c r="G57" s="43" t="n">
        <v>0.75</v>
      </c>
      <c r="H57" s="44" t="n">
        <v>0.5</v>
      </c>
    </row>
    <row r="58" ht="33.6" customHeight="1">
      <c r="F58" s="25" t="inlineStr">
        <is>
          <t>判定結果</t>
        </is>
      </c>
      <c r="G58" s="45">
        <f>IF((ABS(G55)&lt;G57)+(ABS(H55)&lt;H57)+(ABS(G56)&lt;G57)+(ABS(H56)&lt;H57)=4,"OK","NG")</f>
        <v/>
      </c>
      <c r="H58" s="46" t="n"/>
    </row>
  </sheetData>
  <mergeCells count="5">
    <mergeCell ref="A5:A6"/>
    <mergeCell ref="E5:E6"/>
    <mergeCell ref="G58:H58"/>
    <mergeCell ref="F5:F6"/>
    <mergeCell ref="D5:D6"/>
  </mergeCells>
  <conditionalFormatting sqref="G7:G54">
    <cfRule type="cellIs" priority="1" operator="greaterThan" dxfId="0">
      <formula>0.75</formula>
    </cfRule>
    <cfRule type="cellIs" priority="2" operator="lessThan" dxfId="0">
      <formula>-0.75</formula>
    </cfRule>
  </conditionalFormatting>
  <conditionalFormatting sqref="H7:H54">
    <cfRule type="cellIs" priority="3" operator="greaterThan" dxfId="0">
      <formula>0.5</formula>
    </cfRule>
    <cfRule type="cellIs" priority="4" operator="lessThan" dxfId="0">
      <formula>-0.5</formula>
    </cfRule>
  </conditionalFormatting>
  <conditionalFormatting sqref="G58">
    <cfRule type="cellIs" priority="5" operator="equal" dxfId="1">
      <formula>"NG"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2026-03-04T01:29:18Z</dcterms:created>
  <dcterms:modified xmlns:dcterms="http://purl.org/dc/terms/" xmlns:xsi="http://www.w3.org/2001/XMLSchema-instance" xsi:type="dcterms:W3CDTF">2026-03-04T02:34:58Z</dcterms:modified>
  <cp:lastModifiedBy>櫛野英治/E.Kushino</cp:lastModifiedBy>
</cp:coreProperties>
</file>