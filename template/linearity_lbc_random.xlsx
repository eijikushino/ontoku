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345" yWindow="1680" windowWidth="16410" windowHeight="16965" tabRatio="600" firstSheet="0" activeTab="0" autoFilterDateGrouping="1"/>
  </bookViews>
  <sheets>
    <sheet xmlns:r="http://schemas.openxmlformats.org/officeDocument/2006/relationships" name="計算デー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_);[Red]\(0.0000\)"/>
    <numFmt numFmtId="165" formatCode="0.00_ "/>
    <numFmt numFmtId="166" formatCode="0.000000_ "/>
  </numFmts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48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1" xfId="0"/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0" i="0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000" b="0" i="0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DFH051 POS LBC 直線性(1024点ﾗﾝﾀﾞﾑ)</a:t>
            </a:r>
          </a:p>
        </rich>
      </tx>
      <layout>
        <manualLayout>
          <xMode val="edge"/>
          <yMode val="edge"/>
          <wMode val="factor"/>
          <hMode val="factor"/>
          <x val="0.2832003359580053"/>
          <y val="0.0417690417690417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34400105000082"/>
          <y val="0.1572481572481572"/>
          <w val="0.8032006275004903"/>
          <h val="0.7395577395577395"/>
        </manualLayout>
      </layout>
      <scatterChart>
        <scatterStyle val="lineMarker"/>
        <varyColors val="0"/>
        <ser>
          <idx val="1"/>
          <order val="0"/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計算データ!$A$4:$A$35</f>
              <numCache>
                <formatCode>General</formatCode>
                <ptCount val="32"/>
                <pt idx="0">
                  <v>-32767</v>
                </pt>
                <pt idx="1">
                  <v>-30720</v>
                </pt>
                <pt idx="2">
                  <v>-28672</v>
                </pt>
                <pt idx="3">
                  <v>-26624</v>
                </pt>
                <pt idx="4">
                  <v>-24576</v>
                </pt>
                <pt idx="5">
                  <v>-22528</v>
                </pt>
                <pt idx="6">
                  <v>-20480</v>
                </pt>
                <pt idx="7">
                  <v>-18432</v>
                </pt>
                <pt idx="8">
                  <v>-16384</v>
                </pt>
                <pt idx="9">
                  <v>-14336</v>
                </pt>
                <pt idx="10">
                  <v>-12288</v>
                </pt>
                <pt idx="11">
                  <v>-10240</v>
                </pt>
                <pt idx="12">
                  <v>-8192</v>
                </pt>
                <pt idx="13">
                  <v>-6144</v>
                </pt>
                <pt idx="14">
                  <v>-4096</v>
                </pt>
                <pt idx="15">
                  <v>-2048</v>
                </pt>
                <pt idx="16">
                  <v>0</v>
                </pt>
                <pt idx="17">
                  <v>2048</v>
                </pt>
                <pt idx="18">
                  <v>4096</v>
                </pt>
                <pt idx="19">
                  <v>6144</v>
                </pt>
                <pt idx="20">
                  <v>8192</v>
                </pt>
                <pt idx="21">
                  <v>10240</v>
                </pt>
                <pt idx="22">
                  <v>12288</v>
                </pt>
                <pt idx="23">
                  <v>14336</v>
                </pt>
                <pt idx="24">
                  <v>16384</v>
                </pt>
                <pt idx="25">
                  <v>18432</v>
                </pt>
                <pt idx="26">
                  <v>20480</v>
                </pt>
                <pt idx="27">
                  <v>22528</v>
                </pt>
                <pt idx="28">
                  <v>24576</v>
                </pt>
                <pt idx="29">
                  <v>26624</v>
                </pt>
                <pt idx="30">
                  <v>28672</v>
                </pt>
                <pt idx="31">
                  <v>30720</v>
                </pt>
              </numCache>
            </numRef>
          </xVal>
          <yVal>
            <numRef>
              <f>計算データ!$G$4:$G$35</f>
              <numCache>
                <formatCode xml:space="preserve">0.00_ </formatCode>
                <ptCount val="32"/>
                <pt idx="0">
                  <v>-321297537.1030082</v>
                </pt>
                <pt idx="1">
                  <v>-300578163.1658471</v>
                </pt>
                <pt idx="2">
                  <v>-279848678.9171818</v>
                </pt>
                <pt idx="3">
                  <v>-259119134.9373579</v>
                </pt>
                <pt idx="4">
                  <v>-238389641.1075096</v>
                </pt>
                <pt idx="5">
                  <v>-217660100.5825307</v>
                </pt>
                <pt idx="6">
                  <v>-196930527.5538911</v>
                </pt>
                <pt idx="7">
                  <v>-176201041.6572149</v>
                </pt>
                <pt idx="8">
                  <v>-155471558.039409</v>
                </pt>
                <pt idx="9">
                  <v>-134742047.5124035</v>
                </pt>
                <pt idx="10">
                  <v>-114012548.9243763</v>
                </pt>
                <pt idx="11">
                  <v>-93283015.52831811</v>
                </pt>
                <pt idx="12">
                  <v>-72553499.72573343</v>
                </pt>
                <pt idx="13">
                  <v>-51824002.07900631</v>
                </pt>
                <pt idx="14">
                  <v>-31094520.2139377</v>
                </pt>
                <pt idx="15">
                  <v>-10365031.62849975</v>
                </pt>
                <pt idx="16">
                  <v>10364506.41803557</v>
                </pt>
                <pt idx="17">
                  <v>31093997.89737618</v>
                </pt>
                <pt idx="18">
                  <v>51823481.54711783</v>
                </pt>
                <pt idx="19">
                  <v>72552965.62775862</v>
                </pt>
                <pt idx="20">
                  <v>93282469.45654905</v>
                </pt>
                <pt idx="21">
                  <v>114011966.8195906</v>
                </pt>
                <pt idx="22">
                  <v>134741458.5996858</v>
                </pt>
                <pt idx="23">
                  <v>155470958.6393093</v>
                </pt>
                <pt idx="24">
                  <v>176200441.0503582</v>
                </pt>
                <pt idx="25">
                  <v>196929925.120451</v>
                </pt>
                <pt idx="26">
                  <v>217659425.5116587</v>
                </pt>
                <pt idx="27">
                  <v>238388908.3013387</v>
                </pt>
                <pt idx="28">
                  <v>259118406.9119005</v>
                </pt>
                <pt idx="29">
                  <v>279847894.1535326</v>
                </pt>
                <pt idx="30">
                  <v>300577379.8864999</v>
                </pt>
                <pt idx="31">
                  <v>321306862.735064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25461663"/>
        <axId val="1"/>
      </scatterChart>
      <valAx>
        <axId val="1025461663"/>
        <scaling>
          <orientation val="minMax"/>
        </scaling>
        <delete val="0"/>
        <axPos val="b"/>
        <maj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ajorGridlines>
        <numFmt formatCode="0_ " sourceLinked="0"/>
        <majorTickMark val="none"/>
        <minorTickMark val="none"/>
        <tickLblPos val="low"/>
        <spPr>
          <a:ln xmlns:a="http://schemas.openxmlformats.org/drawingml/2006/main" w="3175">
            <a:solidFill>
              <a:srgbClr val="000000"/>
            </a:solidFill>
            <a:prstDash val="sysDash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t>None</a:t>
            </a:r>
            <a:endParaRPr lang="ja-JP"/>
          </a:p>
        </txPr>
        <crossAx val="1"/>
        <crosses val="autoZero"/>
        <crossBetween val="midCat"/>
        <majorUnit val="20000"/>
      </valAx>
      <valAx>
        <axId val="1"/>
        <scaling>
          <orientation val="minMax"/>
          <max val="0.5"/>
          <min val="-0.5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ys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 i="0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ja-JP" altLang="en-US" sz="10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INL（LSB)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56"/>
              <y val="0.380835380835380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.00_ " sourceLinked="1"/>
        <majorTickMark val="none"/>
        <minorTickMark val="none"/>
        <tickLblPos val="low"/>
        <spPr>
          <a:ln xmlns:a="http://schemas.openxmlformats.org/drawingml/2006/main" w="3175">
            <a:solidFill>
              <a:srgbClr val="000000"/>
            </a:solidFill>
            <a:prstDash val="sysDash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t>None</a:t>
            </a:r>
            <a:endParaRPr lang="ja-JP"/>
          </a:p>
        </txPr>
        <crossAx val="1025461663"/>
        <crosses val="autoZero"/>
        <crossBetween val="midCat"/>
        <majorUnit val="0.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76200</colOff>
      <row>3</row>
      <rowOff>66675</rowOff>
    </from>
    <to>
      <col>19</col>
      <colOff>342900</colOff>
      <row>25</row>
      <rowOff>154305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workbookViewId="0">
      <selection activeCell="C5" sqref="C5"/>
    </sheetView>
  </sheetViews>
  <sheetFormatPr baseColWidth="8" defaultRowHeight="13.2"/>
  <cols>
    <col width="13.21875" bestFit="1" customWidth="1" min="1" max="1"/>
    <col width="8" customWidth="1" min="2" max="2"/>
    <col width="7" customWidth="1" min="3" max="3"/>
    <col width="15" customWidth="1" min="4" max="4"/>
    <col width="17.88671875" bestFit="1" customWidth="1" min="5" max="5"/>
    <col width="15.44140625" bestFit="1" customWidth="1" min="6" max="6"/>
    <col width="16.6640625" bestFit="1" customWidth="1" min="7" max="7"/>
    <col width="8.5546875" bestFit="1" customWidth="1" min="9" max="9"/>
  </cols>
  <sheetData>
    <row r="1">
      <c r="B1" s="2" t="n">
        <v>160</v>
      </c>
      <c r="C1" s="2">
        <f>B1/2^19</f>
        <v/>
      </c>
      <c r="D1" s="3">
        <f>(D4-D1015)/(B4-B1015)</f>
        <v/>
      </c>
      <c r="E1" s="15">
        <f>D4-D1*B4</f>
        <v/>
      </c>
      <c r="F1" s="16">
        <f>AVERAGE(F4:F1015)</f>
        <v/>
      </c>
    </row>
    <row r="2">
      <c r="A2" s="13" t="n"/>
      <c r="B2" s="13" t="n"/>
      <c r="C2" s="14" t="inlineStr">
        <is>
          <t>コード</t>
        </is>
      </c>
      <c r="D2" s="14" t="inlineStr">
        <is>
          <t>測定電圧(V)</t>
        </is>
      </c>
      <c r="E2" s="14" t="inlineStr">
        <is>
          <t>理想電圧(V)</t>
        </is>
      </c>
      <c r="F2" s="14" t="n"/>
      <c r="G2" s="10" t="inlineStr">
        <is>
          <t>オフセット補正</t>
        </is>
      </c>
      <c r="H2" s="13" t="n"/>
      <c r="I2" s="14" t="inlineStr">
        <is>
          <t>測定順</t>
        </is>
      </c>
    </row>
    <row r="3">
      <c r="A3" s="14" t="inlineStr">
        <is>
          <t>設定DAC値</t>
        </is>
      </c>
      <c r="B3" s="11" t="n"/>
      <c r="F3" s="14" t="inlineStr">
        <is>
          <t>INL(LSB)</t>
        </is>
      </c>
      <c r="G3" s="10" t="inlineStr">
        <is>
          <t>INL(LSB)</t>
        </is>
      </c>
      <c r="H3" s="13" t="n"/>
    </row>
    <row r="4">
      <c r="A4" t="n">
        <v>-32767</v>
      </c>
      <c r="B4" s="1">
        <f>A4+2^15</f>
        <v/>
      </c>
      <c r="C4" s="14">
        <f>DEC2HEX(B4,4)</f>
        <v/>
      </c>
      <c r="D4" t="n">
        <v>-3.08893341</v>
      </c>
      <c r="E4" s="17">
        <f>D$1*B4+D$4</f>
        <v/>
      </c>
      <c r="F4" s="18">
        <f>(D4-E4)/C$1</f>
        <v/>
      </c>
      <c r="G4" s="18">
        <f>F4-F$1</f>
        <v/>
      </c>
      <c r="I4" t="n">
        <v>1</v>
      </c>
    </row>
    <row r="5">
      <c r="A5" t="n">
        <v>-30720</v>
      </c>
      <c r="B5" s="1">
        <f>A5+2^15</f>
        <v/>
      </c>
      <c r="C5" s="14">
        <f>DEC2HEX(B5,4)</f>
        <v/>
      </c>
      <c r="D5" t="n">
        <v>-3.084495396</v>
      </c>
      <c r="E5" s="17">
        <f>D$1*B5+D$4</f>
        <v/>
      </c>
      <c r="F5" s="18">
        <f>(D5-E5)/C$1</f>
        <v/>
      </c>
      <c r="G5" s="18">
        <f>F5-F$1</f>
        <v/>
      </c>
      <c r="I5" t="n">
        <v>2</v>
      </c>
    </row>
    <row r="6">
      <c r="A6" t="n">
        <v>-28672</v>
      </c>
      <c r="B6" s="1">
        <f>A6+2^15</f>
        <v/>
      </c>
      <c r="C6" s="14">
        <f>DEC2HEX(B6,4)</f>
        <v/>
      </c>
      <c r="D6" t="n">
        <v>-3.08356858</v>
      </c>
      <c r="E6" s="17">
        <f>D$1*B6+D$4</f>
        <v/>
      </c>
      <c r="F6" s="18">
        <f>(D6-E6)/C$1</f>
        <v/>
      </c>
      <c r="G6" s="18">
        <f>F6-F$1</f>
        <v/>
      </c>
      <c r="I6" t="n">
        <v>3</v>
      </c>
    </row>
    <row r="7">
      <c r="A7" t="n">
        <v>-26624</v>
      </c>
      <c r="B7" s="1">
        <f>A7+2^15</f>
        <v/>
      </c>
      <c r="C7" s="14">
        <f>DEC2HEX(B7,4)</f>
        <v/>
      </c>
      <c r="D7" t="n">
        <v>-3.064413261</v>
      </c>
      <c r="E7" s="17">
        <f>D$1*B7+D$4</f>
        <v/>
      </c>
      <c r="F7" s="18">
        <f>(D7-E7)/C$1</f>
        <v/>
      </c>
      <c r="G7" s="18">
        <f>F7-F$1</f>
        <v/>
      </c>
      <c r="I7" t="n">
        <v>4</v>
      </c>
    </row>
    <row r="8">
      <c r="A8" t="n">
        <v>-24576</v>
      </c>
      <c r="B8" s="1">
        <f>A8+2^15</f>
        <v/>
      </c>
      <c r="C8" s="14">
        <f>DEC2HEX(B8,4)</f>
        <v/>
      </c>
      <c r="D8" t="n">
        <v>-3.0605625</v>
      </c>
      <c r="E8" s="17">
        <f>D$1*B8+D$4</f>
        <v/>
      </c>
      <c r="F8" s="18">
        <f>(D8-E8)/C$1</f>
        <v/>
      </c>
      <c r="G8" s="18">
        <f>F8-F$1</f>
        <v/>
      </c>
      <c r="I8" t="n">
        <v>5</v>
      </c>
    </row>
    <row r="9">
      <c r="A9" t="n">
        <v>-22528</v>
      </c>
      <c r="B9" s="1">
        <f>A9+2^15</f>
        <v/>
      </c>
      <c r="C9" s="14">
        <f>DEC2HEX(B9,4)</f>
        <v/>
      </c>
      <c r="D9" t="n">
        <v>-3.042461516</v>
      </c>
      <c r="E9" s="17">
        <f>D$1*B9+D$4</f>
        <v/>
      </c>
      <c r="F9" s="18">
        <f>(D9-E9)/C$1</f>
        <v/>
      </c>
      <c r="G9" s="18">
        <f>F9-F$1</f>
        <v/>
      </c>
      <c r="I9" t="n">
        <v>6</v>
      </c>
    </row>
    <row r="10">
      <c r="A10" t="n">
        <v>-20480</v>
      </c>
      <c r="B10" s="1">
        <f>A10+2^15</f>
        <v/>
      </c>
      <c r="C10" s="14">
        <f>DEC2HEX(B10,4)</f>
        <v/>
      </c>
      <c r="D10" t="n">
        <v>-3.014441202</v>
      </c>
      <c r="E10" s="17">
        <f>D$1*B10+D$4</f>
        <v/>
      </c>
      <c r="F10" s="18">
        <f>(D10-E10)/C$1</f>
        <v/>
      </c>
      <c r="G10" s="18">
        <f>F10-F$1</f>
        <v/>
      </c>
      <c r="I10" t="n">
        <v>7</v>
      </c>
    </row>
    <row r="11">
      <c r="A11" t="n">
        <v>-18432</v>
      </c>
      <c r="B11" s="1">
        <f>A11+2^15</f>
        <v/>
      </c>
      <c r="C11" s="14">
        <f>DEC2HEX(B11,4)</f>
        <v/>
      </c>
      <c r="D11" t="n">
        <v>-3.013011453</v>
      </c>
      <c r="E11" s="17">
        <f>D$1*B11+D$4</f>
        <v/>
      </c>
      <c r="F11" s="18">
        <f>(D11-E11)/C$1</f>
        <v/>
      </c>
      <c r="G11" s="18">
        <f>F11-F$1</f>
        <v/>
      </c>
      <c r="I11" t="n">
        <v>8</v>
      </c>
    </row>
    <row r="12">
      <c r="A12" t="n">
        <v>-16384</v>
      </c>
      <c r="B12" s="1">
        <f>A12+2^15</f>
        <v/>
      </c>
      <c r="C12" s="14">
        <f>DEC2HEX(B12,4)</f>
        <v/>
      </c>
      <c r="D12" t="n">
        <v>-3.01227716</v>
      </c>
      <c r="E12" s="17">
        <f>D$1*B12+D$4</f>
        <v/>
      </c>
      <c r="F12" s="18">
        <f>(D12-E12)/C$1</f>
        <v/>
      </c>
      <c r="G12" s="18">
        <f>F12-F$1</f>
        <v/>
      </c>
      <c r="I12" t="n">
        <v>9</v>
      </c>
    </row>
    <row r="13">
      <c r="A13" t="n">
        <v>-14336</v>
      </c>
      <c r="B13" s="1">
        <f>A13+2^15</f>
        <v/>
      </c>
      <c r="C13" s="14">
        <f>DEC2HEX(B13,4)</f>
        <v/>
      </c>
      <c r="D13" t="n">
        <v>-3.003330831</v>
      </c>
      <c r="E13" s="17">
        <f>D$1*B13+D$4</f>
        <v/>
      </c>
      <c r="F13" s="18">
        <f>(D13-E13)/C$1</f>
        <v/>
      </c>
      <c r="G13" s="18">
        <f>F13-F$1</f>
        <v/>
      </c>
      <c r="I13" t="n">
        <v>10</v>
      </c>
    </row>
    <row r="14">
      <c r="A14" t="n">
        <v>-12288</v>
      </c>
      <c r="B14" s="1">
        <f>A14+2^15</f>
        <v/>
      </c>
      <c r="C14" s="14">
        <f>DEC2HEX(B14,4)</f>
        <v/>
      </c>
      <c r="D14" t="n">
        <v>-2.998027989</v>
      </c>
      <c r="E14" s="17">
        <f>D$1*B14+D$4</f>
        <v/>
      </c>
      <c r="F14" s="18">
        <f>(D14-E14)/C$1</f>
        <v/>
      </c>
      <c r="G14" s="18">
        <f>F14-F$1</f>
        <v/>
      </c>
      <c r="I14" t="n">
        <v>11</v>
      </c>
    </row>
    <row r="15">
      <c r="A15" t="n">
        <v>-10240</v>
      </c>
      <c r="B15" s="1">
        <f>A15+2^15</f>
        <v/>
      </c>
      <c r="C15" s="14">
        <f>DEC2HEX(B15,4)</f>
        <v/>
      </c>
      <c r="D15" t="n">
        <v>-2.982102579</v>
      </c>
      <c r="E15" s="17">
        <f>D$1*B15+D$4</f>
        <v/>
      </c>
      <c r="F15" s="18">
        <f>(D15-E15)/C$1</f>
        <v/>
      </c>
      <c r="G15" s="18">
        <f>F15-F$1</f>
        <v/>
      </c>
      <c r="I15" t="n">
        <v>12</v>
      </c>
    </row>
    <row r="16">
      <c r="A16" t="n">
        <v>-8192</v>
      </c>
      <c r="B16" s="1">
        <f>A16+2^15</f>
        <v/>
      </c>
      <c r="C16" s="14">
        <f>DEC2HEX(B16,4)</f>
        <v/>
      </c>
      <c r="D16" t="n">
        <v>-2.971546271</v>
      </c>
      <c r="E16" s="17">
        <f>D$1*B16+D$4</f>
        <v/>
      </c>
      <c r="F16" s="18">
        <f>(D16-E16)/C$1</f>
        <v/>
      </c>
      <c r="G16" s="18">
        <f>F16-F$1</f>
        <v/>
      </c>
      <c r="I16" t="n">
        <v>13</v>
      </c>
    </row>
    <row r="17">
      <c r="A17" t="n">
        <v>-6144</v>
      </c>
      <c r="B17" s="1">
        <f>A17+2^15</f>
        <v/>
      </c>
      <c r="C17" s="14">
        <f>DEC2HEX(B17,4)</f>
        <v/>
      </c>
      <c r="D17" t="n">
        <v>-2.966530691</v>
      </c>
      <c r="E17" s="17">
        <f>D$1*B17+D$4</f>
        <v/>
      </c>
      <c r="F17" s="18">
        <f>(D17-E17)/C$1</f>
        <v/>
      </c>
      <c r="G17" s="18">
        <f>F17-F$1</f>
        <v/>
      </c>
      <c r="I17" t="n">
        <v>14</v>
      </c>
    </row>
    <row r="18">
      <c r="A18" t="n">
        <v>-4096</v>
      </c>
      <c r="B18" s="1">
        <f>A18+2^15</f>
        <v/>
      </c>
      <c r="C18" s="14">
        <f>DEC2HEX(B18,4)</f>
        <v/>
      </c>
      <c r="D18" t="n">
        <v>-2.966331291</v>
      </c>
      <c r="E18" s="17">
        <f>D$1*B18+D$4</f>
        <v/>
      </c>
      <c r="F18" s="18">
        <f>(D18-E18)/C$1</f>
        <v/>
      </c>
      <c r="G18" s="18">
        <f>F18-F$1</f>
        <v/>
      </c>
      <c r="I18" t="n">
        <v>15</v>
      </c>
    </row>
    <row r="19">
      <c r="A19" t="n">
        <v>-2048</v>
      </c>
      <c r="B19" s="1">
        <f>A19+2^15</f>
        <v/>
      </c>
      <c r="C19" s="14">
        <f>DEC2HEX(B19,4)</f>
        <v/>
      </c>
      <c r="D19" t="n">
        <v>-2.964080997</v>
      </c>
      <c r="E19" s="17">
        <f>D$1*B19+D$4</f>
        <v/>
      </c>
      <c r="F19" s="18">
        <f>(D19-E19)/C$1</f>
        <v/>
      </c>
      <c r="G19" s="18">
        <f>F19-F$1</f>
        <v/>
      </c>
      <c r="I19" t="n">
        <v>16</v>
      </c>
    </row>
    <row r="20">
      <c r="A20" t="n">
        <v>0</v>
      </c>
      <c r="B20" s="1">
        <f>A20+2^15</f>
        <v/>
      </c>
      <c r="C20" s="14">
        <f>DEC2HEX(B20,4)</f>
        <v/>
      </c>
      <c r="D20" t="n">
        <v>-2.946736374</v>
      </c>
      <c r="E20" s="17">
        <f>D$1*B20+D$4</f>
        <v/>
      </c>
      <c r="F20" s="18">
        <f>(D20-E20)/C$1</f>
        <v/>
      </c>
      <c r="G20" s="18">
        <f>F20-F$1</f>
        <v/>
      </c>
      <c r="I20" t="n">
        <v>17</v>
      </c>
    </row>
    <row r="21">
      <c r="A21" t="n">
        <v>2048</v>
      </c>
      <c r="B21" s="1">
        <f>A21+2^15</f>
        <v/>
      </c>
      <c r="C21" s="14">
        <f>DEC2HEX(B21,4)</f>
        <v/>
      </c>
      <c r="D21" t="n">
        <v>-2.943602931</v>
      </c>
      <c r="E21" s="17">
        <f>D$1*B21+D$4</f>
        <v/>
      </c>
      <c r="F21" s="18">
        <f>(D21-E21)/C$1</f>
        <v/>
      </c>
      <c r="G21" s="18">
        <f>F21-F$1</f>
        <v/>
      </c>
      <c r="I21" t="n">
        <v>18</v>
      </c>
    </row>
    <row r="22">
      <c r="A22" t="n">
        <v>4096</v>
      </c>
      <c r="B22" s="1">
        <f>A22+2^15</f>
        <v/>
      </c>
      <c r="C22" s="14">
        <f>DEC2HEX(B22,4)</f>
        <v/>
      </c>
      <c r="D22" t="n">
        <v>-2.942858892</v>
      </c>
      <c r="E22" s="17">
        <f>D$1*B22+D$4</f>
        <v/>
      </c>
      <c r="F22" s="18">
        <f>(D22-E22)/C$1</f>
        <v/>
      </c>
      <c r="G22" s="18">
        <f>F22-F$1</f>
        <v/>
      </c>
      <c r="I22" t="n">
        <v>19</v>
      </c>
    </row>
    <row r="23">
      <c r="A23" t="n">
        <v>6144</v>
      </c>
      <c r="B23" s="1">
        <f>A23+2^15</f>
        <v/>
      </c>
      <c r="C23" s="14">
        <f>DEC2HEX(B23,4)</f>
        <v/>
      </c>
      <c r="D23" t="n">
        <v>-2.941983353</v>
      </c>
      <c r="E23" s="17">
        <f>D$1*B23+D$4</f>
        <v/>
      </c>
      <c r="F23" s="18">
        <f>(D23-E23)/C$1</f>
        <v/>
      </c>
      <c r="G23" s="18">
        <f>F23-F$1</f>
        <v/>
      </c>
      <c r="I23" t="n">
        <v>20</v>
      </c>
    </row>
    <row r="24">
      <c r="A24" t="n">
        <v>8192</v>
      </c>
      <c r="B24" s="1">
        <f>A24+2^15</f>
        <v/>
      </c>
      <c r="C24" s="14">
        <f>DEC2HEX(B24,4)</f>
        <v/>
      </c>
      <c r="D24" t="n">
        <v>-2.935081157</v>
      </c>
      <c r="E24" s="17">
        <f>D$1*B24+D$4</f>
        <v/>
      </c>
      <c r="F24" s="18">
        <f>(D24-E24)/C$1</f>
        <v/>
      </c>
      <c r="G24" s="18">
        <f>F24-F$1</f>
        <v/>
      </c>
      <c r="I24" t="n">
        <v>21</v>
      </c>
    </row>
    <row r="25">
      <c r="A25" t="n">
        <v>10240</v>
      </c>
      <c r="B25" s="1">
        <f>A25+2^15</f>
        <v/>
      </c>
      <c r="C25" s="14">
        <f>DEC2HEX(B25,4)</f>
        <v/>
      </c>
      <c r="D25" t="n">
        <v>-2.930152151</v>
      </c>
      <c r="E25" s="17">
        <f>D$1*B25+D$4</f>
        <v/>
      </c>
      <c r="F25" s="18">
        <f>(D25-E25)/C$1</f>
        <v/>
      </c>
      <c r="G25" s="18">
        <f>F25-F$1</f>
        <v/>
      </c>
      <c r="I25" t="n">
        <v>22</v>
      </c>
    </row>
    <row r="26">
      <c r="A26" t="n">
        <v>12288</v>
      </c>
      <c r="B26" s="1">
        <f>A26+2^15</f>
        <v/>
      </c>
      <c r="C26" s="14">
        <f>DEC2HEX(B26,4)</f>
        <v/>
      </c>
      <c r="D26" t="n">
        <v>-2.926926925</v>
      </c>
      <c r="E26" s="17">
        <f>D$1*B26+D$4</f>
        <v/>
      </c>
      <c r="F26" s="18">
        <f>(D26-E26)/C$1</f>
        <v/>
      </c>
      <c r="G26" s="18">
        <f>F26-F$1</f>
        <v/>
      </c>
      <c r="I26" t="n">
        <v>23</v>
      </c>
    </row>
    <row r="27">
      <c r="A27" t="n">
        <v>14336</v>
      </c>
      <c r="B27" s="1">
        <f>A27+2^15</f>
        <v/>
      </c>
      <c r="C27" s="14">
        <f>DEC2HEX(B27,4)</f>
        <v/>
      </c>
      <c r="D27" t="n">
        <v>-2.921181091</v>
      </c>
      <c r="E27" s="17">
        <f>D$1*B27+D$4</f>
        <v/>
      </c>
      <c r="F27" s="18">
        <f>(D27-E27)/C$1</f>
        <v/>
      </c>
      <c r="G27" s="18">
        <f>F27-F$1</f>
        <v/>
      </c>
      <c r="I27" t="n">
        <v>24</v>
      </c>
    </row>
    <row r="28">
      <c r="A28" t="n">
        <v>16384</v>
      </c>
      <c r="B28" s="1">
        <f>A28+2^15</f>
        <v/>
      </c>
      <c r="C28" s="14">
        <f>DEC2HEX(B28,4)</f>
        <v/>
      </c>
      <c r="D28" t="n">
        <v>-2.920815071</v>
      </c>
      <c r="E28" s="17">
        <f>D$1*B28+D$4</f>
        <v/>
      </c>
      <c r="F28" s="18">
        <f>(D28-E28)/C$1</f>
        <v/>
      </c>
      <c r="G28" s="18">
        <f>F28-F$1</f>
        <v/>
      </c>
      <c r="I28" t="n">
        <v>25</v>
      </c>
    </row>
    <row r="29">
      <c r="A29" t="n">
        <v>18432</v>
      </c>
      <c r="B29" s="1">
        <f>A29+2^15</f>
        <v/>
      </c>
      <c r="C29" s="14">
        <f>DEC2HEX(B29,4)</f>
        <v/>
      </c>
      <c r="D29" t="n">
        <v>-2.919942751</v>
      </c>
      <c r="E29" s="17">
        <f>D$1*B29+D$4</f>
        <v/>
      </c>
      <c r="F29" s="18">
        <f>(D29-E29)/C$1</f>
        <v/>
      </c>
      <c r="G29" s="18">
        <f>F29-F$1</f>
        <v/>
      </c>
      <c r="I29" t="n">
        <v>26</v>
      </c>
    </row>
    <row r="30">
      <c r="A30" t="n">
        <v>20480</v>
      </c>
      <c r="B30" s="1">
        <f>A30+2^15</f>
        <v/>
      </c>
      <c r="C30" s="14">
        <f>DEC2HEX(B30,4)</f>
        <v/>
      </c>
      <c r="D30" t="n">
        <v>-2.914089622</v>
      </c>
      <c r="E30" s="17">
        <f>D$1*B30+D$4</f>
        <v/>
      </c>
      <c r="F30" s="18">
        <f>(D30-E30)/C$1</f>
        <v/>
      </c>
      <c r="G30" s="18">
        <f>F30-F$1</f>
        <v/>
      </c>
      <c r="I30" t="n">
        <v>27</v>
      </c>
    </row>
    <row r="31">
      <c r="A31" t="n">
        <v>22528</v>
      </c>
      <c r="B31" s="1">
        <f>A31+2^15</f>
        <v/>
      </c>
      <c r="C31" s="14">
        <f>DEC2HEX(B31,4)</f>
        <v/>
      </c>
      <c r="D31" t="n">
        <v>-2.913608053</v>
      </c>
      <c r="E31" s="17">
        <f>D$1*B31+D$4</f>
        <v/>
      </c>
      <c r="F31" s="18">
        <f>(D31-E31)/C$1</f>
        <v/>
      </c>
      <c r="G31" s="18">
        <f>F31-F$1</f>
        <v/>
      </c>
      <c r="I31" t="n">
        <v>28</v>
      </c>
    </row>
    <row r="32">
      <c r="A32" t="n">
        <v>24576</v>
      </c>
      <c r="B32" s="1">
        <f>A32+2^15</f>
        <v/>
      </c>
      <c r="C32" s="14">
        <f>DEC2HEX(B32,4)</f>
        <v/>
      </c>
      <c r="D32" t="n">
        <v>-2.908298334</v>
      </c>
      <c r="E32" s="17">
        <f>D$1*B32+D$4</f>
        <v/>
      </c>
      <c r="F32" s="18">
        <f>(D32-E32)/C$1</f>
        <v/>
      </c>
      <c r="G32" s="18">
        <f>F32-F$1</f>
        <v/>
      </c>
      <c r="I32" t="n">
        <v>29</v>
      </c>
    </row>
    <row r="33">
      <c r="A33" t="n">
        <v>26624</v>
      </c>
      <c r="B33" s="1">
        <f>A33+2^15</f>
        <v/>
      </c>
      <c r="C33" s="14">
        <f>DEC2HEX(B33,4)</f>
        <v/>
      </c>
      <c r="D33" t="n">
        <v>-2.906458137</v>
      </c>
      <c r="E33" s="17">
        <f>D$1*B33+D$4</f>
        <v/>
      </c>
      <c r="F33" s="18">
        <f>(D33-E33)/C$1</f>
        <v/>
      </c>
      <c r="G33" s="18">
        <f>F33-F$1</f>
        <v/>
      </c>
      <c r="I33" t="n">
        <v>30</v>
      </c>
    </row>
    <row r="34">
      <c r="A34" t="n">
        <v>28672</v>
      </c>
      <c r="B34" s="1">
        <f>A34+2^15</f>
        <v/>
      </c>
      <c r="C34" s="14">
        <f>DEC2HEX(B34,4)</f>
        <v/>
      </c>
      <c r="D34" t="n">
        <v>-2.905078348</v>
      </c>
      <c r="E34" s="17">
        <f>D$1*B34+D$4</f>
        <v/>
      </c>
      <c r="F34" s="18">
        <f>(D34-E34)/C$1</f>
        <v/>
      </c>
      <c r="G34" s="18">
        <f>F34-F$1</f>
        <v/>
      </c>
      <c r="I34" t="n">
        <v>31</v>
      </c>
    </row>
    <row r="35">
      <c r="A35" t="n">
        <v>30720</v>
      </c>
      <c r="B35" s="1">
        <f>A35+2^15</f>
        <v/>
      </c>
      <c r="C35" s="14">
        <f>DEC2HEX(B35,4)</f>
        <v/>
      </c>
      <c r="D35" t="n">
        <v>-2.904578809</v>
      </c>
      <c r="E35" s="17">
        <f>D$1*B35+D$4</f>
        <v/>
      </c>
      <c r="F35" s="18">
        <f>(D35-E35)/C$1</f>
        <v/>
      </c>
      <c r="G35" s="18">
        <f>F35-F$1</f>
        <v/>
      </c>
      <c r="I35" t="n">
        <v>32</v>
      </c>
    </row>
  </sheetData>
  <mergeCells count="4">
    <mergeCell ref="D2:D3"/>
    <mergeCell ref="C2:C3"/>
    <mergeCell ref="E2:E3"/>
    <mergeCell ref="I2:I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2026-03-05T08:17:53Z</dcterms:created>
  <dcterms:modified xmlns:dcterms="http://purl.org/dc/terms/" xmlns:xsi="http://www.w3.org/2001/XMLSchema-instance" xsi:type="dcterms:W3CDTF">2026-03-10T01:50:22Z</dcterms:modified>
  <cp:lastModifiedBy>櫛野英治/E.Kushino</cp:lastModifiedBy>
</cp:coreProperties>
</file>