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-kus\Desktop\AI\ClaudeCode\温特アプリ\温特\template\"/>
    </mc:Choice>
  </mc:AlternateContent>
  <xr:revisionPtr revIDLastSave="0" documentId="13_ncr:1_{50E661FA-0012-4049-B32B-E396E1688A32}" xr6:coauthVersionLast="47" xr6:coauthVersionMax="47" xr10:uidLastSave="{00000000-0000-0000-0000-000000000000}"/>
  <bookViews>
    <workbookView xWindow="33345" yWindow="1680" windowWidth="16410" windowHeight="16965" xr2:uid="{00000000-000D-0000-FFFF-FFFF00000000}"/>
  </bookViews>
  <sheets>
    <sheet name="計算データ" sheetId="1" r:id="rId1"/>
    <sheet name="グラフ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27" i="1"/>
  <c r="C28" i="1"/>
  <c r="C29" i="1"/>
  <c r="C30" i="1"/>
  <c r="C31" i="1"/>
  <c r="C32" i="1"/>
  <c r="C33" i="1"/>
  <c r="C34" i="1"/>
  <c r="C35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G1" i="1"/>
  <c r="C1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4" i="1"/>
  <c r="D1" i="1" s="1"/>
  <c r="B7" i="1"/>
  <c r="B6" i="1"/>
  <c r="B5" i="1"/>
  <c r="E24" i="1" l="1"/>
  <c r="F24" i="1" s="1"/>
  <c r="E9" i="1"/>
  <c r="F9" i="1" s="1"/>
  <c r="E20" i="1"/>
  <c r="F20" i="1" s="1"/>
  <c r="E33" i="1"/>
  <c r="F33" i="1" s="1"/>
  <c r="E30" i="1"/>
  <c r="F30" i="1" s="1"/>
  <c r="E12" i="1"/>
  <c r="F12" i="1" s="1"/>
  <c r="E23" i="1"/>
  <c r="F23" i="1" s="1"/>
  <c r="E8" i="1"/>
  <c r="F8" i="1" s="1"/>
  <c r="E21" i="1"/>
  <c r="F21" i="1" s="1"/>
  <c r="E5" i="1"/>
  <c r="F5" i="1" s="1"/>
  <c r="F1" i="1" s="1"/>
  <c r="G31" i="1" s="1"/>
  <c r="E18" i="1"/>
  <c r="F18" i="1" s="1"/>
  <c r="E29" i="1"/>
  <c r="F29" i="1" s="1"/>
  <c r="E11" i="1"/>
  <c r="F11" i="1" s="1"/>
  <c r="E22" i="1"/>
  <c r="F22" i="1" s="1"/>
  <c r="E7" i="1"/>
  <c r="F7" i="1" s="1"/>
  <c r="G7" i="1" s="1"/>
  <c r="E6" i="1"/>
  <c r="F6" i="1" s="1"/>
  <c r="E1" i="1"/>
  <c r="E34" i="1"/>
  <c r="F34" i="1" s="1"/>
  <c r="E31" i="1"/>
  <c r="F31" i="1" s="1"/>
  <c r="E15" i="1"/>
  <c r="F15" i="1" s="1"/>
  <c r="E14" i="1"/>
  <c r="F14" i="1" s="1"/>
  <c r="E27" i="1"/>
  <c r="F27" i="1" s="1"/>
  <c r="E4" i="1"/>
  <c r="F4" i="1" s="1"/>
  <c r="E32" i="1"/>
  <c r="F32" i="1" s="1"/>
  <c r="E16" i="1"/>
  <c r="F16" i="1" s="1"/>
  <c r="E28" i="1"/>
  <c r="F28" i="1" s="1"/>
  <c r="E10" i="1"/>
  <c r="F10" i="1" s="1"/>
  <c r="E17" i="1"/>
  <c r="F17" i="1" s="1"/>
  <c r="E13" i="1"/>
  <c r="F13" i="1" s="1"/>
  <c r="E35" i="1"/>
  <c r="F35" i="1" s="1"/>
  <c r="E26" i="1"/>
  <c r="F26" i="1" s="1"/>
  <c r="E19" i="1"/>
  <c r="F19" i="1" s="1"/>
  <c r="E25" i="1"/>
  <c r="F25" i="1" s="1"/>
  <c r="G16" i="1" l="1"/>
  <c r="G4" i="1"/>
  <c r="G18" i="1"/>
  <c r="G15" i="1"/>
  <c r="G35" i="1"/>
  <c r="G30" i="1"/>
  <c r="G5" i="1"/>
  <c r="G32" i="1"/>
  <c r="G19" i="1"/>
  <c r="G17" i="1"/>
  <c r="G14" i="1"/>
  <c r="G13" i="1"/>
  <c r="G29" i="1"/>
  <c r="G28" i="1"/>
  <c r="G11" i="1"/>
  <c r="G27" i="1"/>
  <c r="G10" i="1"/>
  <c r="G9" i="1"/>
  <c r="G12" i="1"/>
  <c r="G25" i="1"/>
  <c r="G8" i="1"/>
  <c r="G26" i="1"/>
  <c r="G24" i="1"/>
  <c r="G6" i="1"/>
  <c r="G23" i="1"/>
  <c r="G20" i="1"/>
  <c r="G22" i="1"/>
  <c r="G21" i="1"/>
  <c r="G34" i="1"/>
  <c r="G33" i="1"/>
</calcChain>
</file>

<file path=xl/sharedStrings.xml><?xml version="1.0" encoding="utf-8"?>
<sst xmlns="http://schemas.openxmlformats.org/spreadsheetml/2006/main" count="9" uniqueCount="9">
  <si>
    <t>コード</t>
  </si>
  <si>
    <t>測定電圧(V)</t>
  </si>
  <si>
    <t>理想電圧(V)</t>
  </si>
  <si>
    <t>設定DAC値</t>
  </si>
  <si>
    <t>測定順</t>
  </si>
  <si>
    <t>+2^15</t>
    <phoneticPr fontId="1"/>
  </si>
  <si>
    <t>INL(LSB)</t>
    <phoneticPr fontId="1"/>
  </si>
  <si>
    <t>オフセット補正</t>
    <phoneticPr fontId="3"/>
  </si>
  <si>
    <t>INL(LSB)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</si>
</sst>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_);[Red]\(0.0000\)"/>
    <numFmt numFmtId="177" formatCode="0.00_ "/>
    <numFmt numFmtId="178" formatCode="0.000000_ 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48" fontId="0" fillId="0" borderId="0" xfId="0" applyNumberFormat="1" applyAlignment="1">
      <alignment horizontal="right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8" fontId="0" fillId="0" borderId="0" xfId="0" applyNumberFormat="1"/>
    <xf numFmtId="177" fontId="0" fillId="0" borderId="0" xfId="0" applyNumberFormat="1"/>
    <xf numFmtId="0" fontId="4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quotePrefix="1" applyFont="1"/>
    <xf numFmtId="0" fontId="2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ゴシック"/>
                <a:ea typeface="ＭＳ ゴシック"/>
              </a:rPr>
              <a:t>DFH051 POS LBC 直線性(1024点ﾗﾝﾀﾞﾑ)</a:t>
            </a:r>
          </a:p>
        </c:rich>
      </c:tx>
      <c:layout>
        <c:manualLayout>
          <c:xMode val="edge"/>
          <c:yMode val="edge"/>
          <c:x val="0.28320033595800526"/>
          <c:y val="4.176904176904176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440010500008204"/>
          <c:y val="0.15724815724815724"/>
          <c:w val="0.80320062750049026"/>
          <c:h val="0.73955773955773951"/>
        </c:manualLayout>
      </c:layout>
      <c:scatterChart>
        <c:scatterStyle val="lineMarker"/>
        <c:varyColors val="0"/>
        <c:ser>
          <c:idx val="1"/>
          <c:order val="0"/>
          <c:spPr>
            <a:ln w="127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計算データ!$A$4:$A$35</c:f>
              <c:numCache>
                <c:formatCode>General</c:formatCode>
                <c:ptCount val="32"/>
                <c:pt idx="0">
                  <c:v>-32767</c:v>
                </c:pt>
                <c:pt idx="1">
                  <c:v>-30720</c:v>
                </c:pt>
                <c:pt idx="2">
                  <c:v>-28672</c:v>
                </c:pt>
                <c:pt idx="3">
                  <c:v>-26624</c:v>
                </c:pt>
                <c:pt idx="4">
                  <c:v>-24576</c:v>
                </c:pt>
                <c:pt idx="5">
                  <c:v>-22528</c:v>
                </c:pt>
                <c:pt idx="6">
                  <c:v>-20480</c:v>
                </c:pt>
                <c:pt idx="7">
                  <c:v>-18432</c:v>
                </c:pt>
                <c:pt idx="8">
                  <c:v>-16384</c:v>
                </c:pt>
                <c:pt idx="9">
                  <c:v>-14336</c:v>
                </c:pt>
                <c:pt idx="10">
                  <c:v>-12288</c:v>
                </c:pt>
                <c:pt idx="11">
                  <c:v>-10240</c:v>
                </c:pt>
                <c:pt idx="12">
                  <c:v>-8192</c:v>
                </c:pt>
                <c:pt idx="13">
                  <c:v>-6144</c:v>
                </c:pt>
                <c:pt idx="14">
                  <c:v>-4096</c:v>
                </c:pt>
                <c:pt idx="15">
                  <c:v>-2048</c:v>
                </c:pt>
                <c:pt idx="16">
                  <c:v>0</c:v>
                </c:pt>
                <c:pt idx="17">
                  <c:v>2048</c:v>
                </c:pt>
                <c:pt idx="18">
                  <c:v>4096</c:v>
                </c:pt>
                <c:pt idx="19">
                  <c:v>6144</c:v>
                </c:pt>
                <c:pt idx="20">
                  <c:v>8192</c:v>
                </c:pt>
                <c:pt idx="21">
                  <c:v>10240</c:v>
                </c:pt>
                <c:pt idx="22">
                  <c:v>12288</c:v>
                </c:pt>
                <c:pt idx="23">
                  <c:v>14336</c:v>
                </c:pt>
                <c:pt idx="24">
                  <c:v>16384</c:v>
                </c:pt>
                <c:pt idx="25">
                  <c:v>18432</c:v>
                </c:pt>
                <c:pt idx="26">
                  <c:v>20480</c:v>
                </c:pt>
                <c:pt idx="27">
                  <c:v>22528</c:v>
                </c:pt>
                <c:pt idx="28">
                  <c:v>24576</c:v>
                </c:pt>
                <c:pt idx="29">
                  <c:v>26624</c:v>
                </c:pt>
                <c:pt idx="30">
                  <c:v>28672</c:v>
                </c:pt>
                <c:pt idx="31">
                  <c:v>30720</c:v>
                </c:pt>
              </c:numCache>
            </c:numRef>
          </c:xVal>
          <c:yVal>
            <c:numRef>
              <c:f>計算データ!$G$4:$G$35</c:f>
              <c:numCache>
                <c:formatCode>0.00_ </c:formatCode>
                <c:ptCount val="32"/>
                <c:pt idx="0">
                  <c:v>-321297537.10300815</c:v>
                </c:pt>
                <c:pt idx="1">
                  <c:v>-300578163.16584712</c:v>
                </c:pt>
                <c:pt idx="2">
                  <c:v>-279848678.91718185</c:v>
                </c:pt>
                <c:pt idx="3">
                  <c:v>-259119134.9373579</c:v>
                </c:pt>
                <c:pt idx="4">
                  <c:v>-238389641.10750964</c:v>
                </c:pt>
                <c:pt idx="5">
                  <c:v>-217660100.58253068</c:v>
                </c:pt>
                <c:pt idx="6">
                  <c:v>-196930527.55389112</c:v>
                </c:pt>
                <c:pt idx="7">
                  <c:v>-176201041.65721494</c:v>
                </c:pt>
                <c:pt idx="8">
                  <c:v>-155471558.03940904</c:v>
                </c:pt>
                <c:pt idx="9">
                  <c:v>-134742047.51240355</c:v>
                </c:pt>
                <c:pt idx="10">
                  <c:v>-114012548.92437628</c:v>
                </c:pt>
                <c:pt idx="11">
                  <c:v>-93283015.528318107</c:v>
                </c:pt>
                <c:pt idx="12">
                  <c:v>-72553499.725733429</c:v>
                </c:pt>
                <c:pt idx="13">
                  <c:v>-51824002.079006314</c:v>
                </c:pt>
                <c:pt idx="14">
                  <c:v>-31094520.2139377</c:v>
                </c:pt>
                <c:pt idx="15">
                  <c:v>-10365031.628499746</c:v>
                </c:pt>
                <c:pt idx="16">
                  <c:v>10364506.418035567</c:v>
                </c:pt>
                <c:pt idx="17">
                  <c:v>31093997.89737618</c:v>
                </c:pt>
                <c:pt idx="18">
                  <c:v>51823481.547117829</c:v>
                </c:pt>
                <c:pt idx="19">
                  <c:v>72552965.627758622</c:v>
                </c:pt>
                <c:pt idx="20">
                  <c:v>93282469.456549048</c:v>
                </c:pt>
                <c:pt idx="21">
                  <c:v>114011966.81959063</c:v>
                </c:pt>
                <c:pt idx="22">
                  <c:v>134741458.59968579</c:v>
                </c:pt>
                <c:pt idx="23">
                  <c:v>155470958.63930929</c:v>
                </c:pt>
                <c:pt idx="24">
                  <c:v>176200441.05035824</c:v>
                </c:pt>
                <c:pt idx="25">
                  <c:v>196929925.12045103</c:v>
                </c:pt>
                <c:pt idx="26">
                  <c:v>217659425.51165867</c:v>
                </c:pt>
                <c:pt idx="27">
                  <c:v>238388908.30133867</c:v>
                </c:pt>
                <c:pt idx="28">
                  <c:v>259118406.91190052</c:v>
                </c:pt>
                <c:pt idx="29">
                  <c:v>279847894.15353262</c:v>
                </c:pt>
                <c:pt idx="30">
                  <c:v>300577379.88649988</c:v>
                </c:pt>
                <c:pt idx="31">
                  <c:v>321306862.73506403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9E-487A-8ED2-BE1F7F6D2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5461663"/>
        <c:axId val="1"/>
      </c:scatterChart>
      <c:valAx>
        <c:axId val="1025461663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numFmt formatCode="0_ 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ysDash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"/>
        <c:crosses val="autoZero"/>
        <c:crossBetween val="midCat"/>
        <c:majorUnit val="20000"/>
      </c:valAx>
      <c:valAx>
        <c:axId val="1"/>
        <c:scaling>
          <c:orientation val="minMax"/>
          <c:max val="0.5"/>
          <c:min val="-0.5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Yu Gothic"/>
                    <a:ea typeface="Yu Gothic"/>
                    <a:cs typeface="Yu Gothic"/>
                  </a:defRPr>
                </a:pPr>
                <a:r>
                  <a:rPr lang="ja-JP" altLang="en-US" sz="10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</a:rPr>
                  <a:t>INL（LSB)</a:t>
                </a:r>
              </a:p>
            </c:rich>
          </c:tx>
          <c:layout>
            <c:manualLayout>
              <c:xMode val="edge"/>
              <c:yMode val="edge"/>
              <c:x val="2.5600000000000001E-2"/>
              <c:y val="0.38083538083538082"/>
            </c:manualLayout>
          </c:layout>
          <c:overlay val="0"/>
          <c:spPr>
            <a:noFill/>
            <a:ln w="25400">
              <a:noFill/>
            </a:ln>
          </c:spPr>
        </c:title>
        <c:numFmt formatCode="0.00_ " sourceLinked="1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ysDash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endParaRPr lang="ja-JP"/>
          </a:p>
        </c:txPr>
        <c:crossAx val="1025461663"/>
        <c:crosses val="autoZero"/>
        <c:crossBetween val="midCat"/>
        <c:majorUnit val="0.1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ja-JP"/>
    </a:p>
  </c:txPr>
  <c:printSettings>
    <c:headerFooter alignWithMargins="0"/>
    <c:pageMargins b="1" l="0.75" r="0.75" t="1" header="0.51200000000000001" footer="0.512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None </a:t>
            </a:r>
            <a:r>
              <a:rPr lang="ja-JP" altLang="en-US"/>
              <a:t>リニアリティ </a:t>
            </a:r>
            <a:r>
              <a:rPr lang="en-US" altLang="ja-JP"/>
              <a:t>(32</a:t>
            </a:r>
            <a:r>
              <a:rPr lang="ja-JP" altLang="en-US"/>
              <a:t>点シーケンス試験</a:t>
            </a:r>
            <a:r>
              <a:rPr lang="en-US" altLang="ja-JP"/>
              <a:t>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INL</c:v>
          </c:tx>
          <c:spPr>
            <a:ln w="10000">
              <a:prstDash val="solid"/>
            </a:ln>
          </c:spPr>
          <c:marker>
            <c:symbol val="none"/>
          </c:marker>
          <c:cat>
            <c:numRef>
              <c:f>計算データ!$B$4:$B$35</c:f>
              <c:numCache>
                <c:formatCode>General</c:formatCode>
                <c:ptCount val="32"/>
                <c:pt idx="0">
                  <c:v>1</c:v>
                </c:pt>
                <c:pt idx="1">
                  <c:v>2048</c:v>
                </c:pt>
                <c:pt idx="2">
                  <c:v>4096</c:v>
                </c:pt>
                <c:pt idx="3">
                  <c:v>6144</c:v>
                </c:pt>
                <c:pt idx="4">
                  <c:v>8192</c:v>
                </c:pt>
                <c:pt idx="5">
                  <c:v>10240</c:v>
                </c:pt>
                <c:pt idx="6">
                  <c:v>12288</c:v>
                </c:pt>
                <c:pt idx="7">
                  <c:v>14336</c:v>
                </c:pt>
                <c:pt idx="8">
                  <c:v>16384</c:v>
                </c:pt>
                <c:pt idx="9">
                  <c:v>18432</c:v>
                </c:pt>
                <c:pt idx="10">
                  <c:v>20480</c:v>
                </c:pt>
                <c:pt idx="11">
                  <c:v>22528</c:v>
                </c:pt>
                <c:pt idx="12">
                  <c:v>24576</c:v>
                </c:pt>
                <c:pt idx="13">
                  <c:v>26624</c:v>
                </c:pt>
                <c:pt idx="14">
                  <c:v>28672</c:v>
                </c:pt>
                <c:pt idx="15">
                  <c:v>30720</c:v>
                </c:pt>
                <c:pt idx="16">
                  <c:v>32768</c:v>
                </c:pt>
                <c:pt idx="17">
                  <c:v>34816</c:v>
                </c:pt>
                <c:pt idx="18">
                  <c:v>36864</c:v>
                </c:pt>
                <c:pt idx="19">
                  <c:v>38912</c:v>
                </c:pt>
                <c:pt idx="20">
                  <c:v>40960</c:v>
                </c:pt>
                <c:pt idx="21">
                  <c:v>43008</c:v>
                </c:pt>
                <c:pt idx="22">
                  <c:v>45056</c:v>
                </c:pt>
                <c:pt idx="23">
                  <c:v>47104</c:v>
                </c:pt>
                <c:pt idx="24">
                  <c:v>49152</c:v>
                </c:pt>
                <c:pt idx="25">
                  <c:v>51200</c:v>
                </c:pt>
                <c:pt idx="26">
                  <c:v>53248</c:v>
                </c:pt>
                <c:pt idx="27">
                  <c:v>55296</c:v>
                </c:pt>
                <c:pt idx="28">
                  <c:v>57344</c:v>
                </c:pt>
                <c:pt idx="29">
                  <c:v>59392</c:v>
                </c:pt>
                <c:pt idx="30">
                  <c:v>61440</c:v>
                </c:pt>
                <c:pt idx="31">
                  <c:v>63488</c:v>
                </c:pt>
              </c:numCache>
            </c:numRef>
          </c:cat>
          <c:val>
            <c:numRef>
              <c:f>計算データ!$F$4:$F$35</c:f>
              <c:numCache>
                <c:formatCode>0.00_ </c:formatCode>
                <c:ptCount val="32"/>
                <c:pt idx="0">
                  <c:v>10121.816997888</c:v>
                </c:pt>
                <c:pt idx="1">
                  <c:v>20729495.754158899</c:v>
                </c:pt>
                <c:pt idx="2">
                  <c:v>41458980.002824195</c:v>
                </c:pt>
                <c:pt idx="3">
                  <c:v>62188523.982648119</c:v>
                </c:pt>
                <c:pt idx="4">
                  <c:v>82918017.812496394</c:v>
                </c:pt>
                <c:pt idx="5">
                  <c:v>103647558.33747537</c:v>
                </c:pt>
                <c:pt idx="6">
                  <c:v>124377131.36611493</c:v>
                </c:pt>
                <c:pt idx="7">
                  <c:v>145106617.2627911</c:v>
                </c:pt>
                <c:pt idx="8">
                  <c:v>165836100.880597</c:v>
                </c:pt>
                <c:pt idx="9">
                  <c:v>186565611.40760249</c:v>
                </c:pt>
                <c:pt idx="10">
                  <c:v>207295109.99562976</c:v>
                </c:pt>
                <c:pt idx="11">
                  <c:v>228024643.39168793</c:v>
                </c:pt>
                <c:pt idx="12">
                  <c:v>248754159.19427261</c:v>
                </c:pt>
                <c:pt idx="13">
                  <c:v>269483656.84099972</c:v>
                </c:pt>
                <c:pt idx="14">
                  <c:v>290213138.70606834</c:v>
                </c:pt>
                <c:pt idx="15">
                  <c:v>310942627.29150629</c:v>
                </c:pt>
                <c:pt idx="16">
                  <c:v>331672165.3380416</c:v>
                </c:pt>
                <c:pt idx="17">
                  <c:v>352401656.81738222</c:v>
                </c:pt>
                <c:pt idx="18">
                  <c:v>373131140.46712387</c:v>
                </c:pt>
                <c:pt idx="19">
                  <c:v>393860624.54776466</c:v>
                </c:pt>
                <c:pt idx="20">
                  <c:v>414590128.37655509</c:v>
                </c:pt>
                <c:pt idx="21">
                  <c:v>435319625.73959666</c:v>
                </c:pt>
                <c:pt idx="22">
                  <c:v>456049117.51969182</c:v>
                </c:pt>
                <c:pt idx="23">
                  <c:v>476778617.55931532</c:v>
                </c:pt>
                <c:pt idx="24">
                  <c:v>497508099.97036427</c:v>
                </c:pt>
                <c:pt idx="25">
                  <c:v>518237584.04045707</c:v>
                </c:pt>
                <c:pt idx="26">
                  <c:v>538967084.43166471</c:v>
                </c:pt>
                <c:pt idx="27">
                  <c:v>559696567.22134471</c:v>
                </c:pt>
                <c:pt idx="28">
                  <c:v>580426065.83190656</c:v>
                </c:pt>
                <c:pt idx="29">
                  <c:v>601155553.07353866</c:v>
                </c:pt>
                <c:pt idx="30">
                  <c:v>621885038.80650592</c:v>
                </c:pt>
                <c:pt idx="31">
                  <c:v>642614521.65507007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0C-4081-B64D-1954593075BF}"/>
            </c:ext>
          </c:extLst>
        </c:ser>
        <c:ser>
          <c:idx val="1"/>
          <c:order val="1"/>
          <c:tx>
            <c:v>DNL</c:v>
          </c:tx>
          <c:spPr>
            <a:ln w="10000">
              <a:prstDash val="solid"/>
            </a:ln>
          </c:spPr>
          <c:marker>
            <c:symbol val="none"/>
          </c:marker>
          <c:cat>
            <c:numRef>
              <c:f>計算データ!$B$4:$B$35</c:f>
              <c:numCache>
                <c:formatCode>General</c:formatCode>
                <c:ptCount val="32"/>
                <c:pt idx="0">
                  <c:v>1</c:v>
                </c:pt>
                <c:pt idx="1">
                  <c:v>2048</c:v>
                </c:pt>
                <c:pt idx="2">
                  <c:v>4096</c:v>
                </c:pt>
                <c:pt idx="3">
                  <c:v>6144</c:v>
                </c:pt>
                <c:pt idx="4">
                  <c:v>8192</c:v>
                </c:pt>
                <c:pt idx="5">
                  <c:v>10240</c:v>
                </c:pt>
                <c:pt idx="6">
                  <c:v>12288</c:v>
                </c:pt>
                <c:pt idx="7">
                  <c:v>14336</c:v>
                </c:pt>
                <c:pt idx="8">
                  <c:v>16384</c:v>
                </c:pt>
                <c:pt idx="9">
                  <c:v>18432</c:v>
                </c:pt>
                <c:pt idx="10">
                  <c:v>20480</c:v>
                </c:pt>
                <c:pt idx="11">
                  <c:v>22528</c:v>
                </c:pt>
                <c:pt idx="12">
                  <c:v>24576</c:v>
                </c:pt>
                <c:pt idx="13">
                  <c:v>26624</c:v>
                </c:pt>
                <c:pt idx="14">
                  <c:v>28672</c:v>
                </c:pt>
                <c:pt idx="15">
                  <c:v>30720</c:v>
                </c:pt>
                <c:pt idx="16">
                  <c:v>32768</c:v>
                </c:pt>
                <c:pt idx="17">
                  <c:v>34816</c:v>
                </c:pt>
                <c:pt idx="18">
                  <c:v>36864</c:v>
                </c:pt>
                <c:pt idx="19">
                  <c:v>38912</c:v>
                </c:pt>
                <c:pt idx="20">
                  <c:v>40960</c:v>
                </c:pt>
                <c:pt idx="21">
                  <c:v>43008</c:v>
                </c:pt>
                <c:pt idx="22">
                  <c:v>45056</c:v>
                </c:pt>
                <c:pt idx="23">
                  <c:v>47104</c:v>
                </c:pt>
                <c:pt idx="24">
                  <c:v>49152</c:v>
                </c:pt>
                <c:pt idx="25">
                  <c:v>51200</c:v>
                </c:pt>
                <c:pt idx="26">
                  <c:v>53248</c:v>
                </c:pt>
                <c:pt idx="27">
                  <c:v>55296</c:v>
                </c:pt>
                <c:pt idx="28">
                  <c:v>57344</c:v>
                </c:pt>
                <c:pt idx="29">
                  <c:v>59392</c:v>
                </c:pt>
                <c:pt idx="30">
                  <c:v>61440</c:v>
                </c:pt>
                <c:pt idx="31">
                  <c:v>63488</c:v>
                </c:pt>
              </c:numCache>
            </c:numRef>
          </c:cat>
          <c:val>
            <c:numRef>
              <c:f>計算データ!$G$4:$G$35</c:f>
              <c:numCache>
                <c:formatCode>0.00_ </c:formatCode>
                <c:ptCount val="32"/>
                <c:pt idx="0">
                  <c:v>-321297537.10300815</c:v>
                </c:pt>
                <c:pt idx="1">
                  <c:v>-300578163.16584712</c:v>
                </c:pt>
                <c:pt idx="2">
                  <c:v>-279848678.91718185</c:v>
                </c:pt>
                <c:pt idx="3">
                  <c:v>-259119134.9373579</c:v>
                </c:pt>
                <c:pt idx="4">
                  <c:v>-238389641.10750964</c:v>
                </c:pt>
                <c:pt idx="5">
                  <c:v>-217660100.58253068</c:v>
                </c:pt>
                <c:pt idx="6">
                  <c:v>-196930527.55389112</c:v>
                </c:pt>
                <c:pt idx="7">
                  <c:v>-176201041.65721494</c:v>
                </c:pt>
                <c:pt idx="8">
                  <c:v>-155471558.03940904</c:v>
                </c:pt>
                <c:pt idx="9">
                  <c:v>-134742047.51240355</c:v>
                </c:pt>
                <c:pt idx="10">
                  <c:v>-114012548.92437628</c:v>
                </c:pt>
                <c:pt idx="11">
                  <c:v>-93283015.528318107</c:v>
                </c:pt>
                <c:pt idx="12">
                  <c:v>-72553499.725733429</c:v>
                </c:pt>
                <c:pt idx="13">
                  <c:v>-51824002.079006314</c:v>
                </c:pt>
                <c:pt idx="14">
                  <c:v>-31094520.2139377</c:v>
                </c:pt>
                <c:pt idx="15">
                  <c:v>-10365031.628499746</c:v>
                </c:pt>
                <c:pt idx="16">
                  <c:v>10364506.418035567</c:v>
                </c:pt>
                <c:pt idx="17">
                  <c:v>31093997.89737618</c:v>
                </c:pt>
                <c:pt idx="18">
                  <c:v>51823481.547117829</c:v>
                </c:pt>
                <c:pt idx="19">
                  <c:v>72552965.627758622</c:v>
                </c:pt>
                <c:pt idx="20">
                  <c:v>93282469.456549048</c:v>
                </c:pt>
                <c:pt idx="21">
                  <c:v>114011966.81959063</c:v>
                </c:pt>
                <c:pt idx="22">
                  <c:v>134741458.59968579</c:v>
                </c:pt>
                <c:pt idx="23">
                  <c:v>155470958.63930929</c:v>
                </c:pt>
                <c:pt idx="24">
                  <c:v>176200441.05035824</c:v>
                </c:pt>
                <c:pt idx="25">
                  <c:v>196929925.12045103</c:v>
                </c:pt>
                <c:pt idx="26">
                  <c:v>217659425.51165867</c:v>
                </c:pt>
                <c:pt idx="27">
                  <c:v>238388908.30133867</c:v>
                </c:pt>
                <c:pt idx="28">
                  <c:v>259118406.91190052</c:v>
                </c:pt>
                <c:pt idx="29">
                  <c:v>279847894.15353262</c:v>
                </c:pt>
                <c:pt idx="30">
                  <c:v>300577379.88649988</c:v>
                </c:pt>
                <c:pt idx="31">
                  <c:v>321306862.73506403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0C-4081-B64D-1954593075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コード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LSB</a:t>
                </a:r>
              </a:p>
            </c:rich>
          </c:tx>
          <c:overlay val="1"/>
        </c:title>
        <c:numFmt formatCode="0.00_ 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10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76200</xdr:colOff>
      <xdr:row>3</xdr:row>
      <xdr:rowOff>66675</xdr:rowOff>
    </xdr:from>
    <xdr:to>
      <xdr:col>19</xdr:col>
      <xdr:colOff>342900</xdr:colOff>
      <xdr:row>25</xdr:row>
      <xdr:rowOff>154305</xdr:rowOff>
    </xdr:to>
    <xdr:graphicFrame macro="">
      <xdr:nvGraphicFramePr>
        <xdr:cNvPr id="2" name="グラフ 2">
          <a:extLst>
            <a:ext uri="{FF2B5EF4-FFF2-40B4-BE49-F238E27FC236}">
              <a16:creationId xmlns:a16="http://schemas.microsoft.com/office/drawing/2014/main" id="{0CAADFD9-1887-4AF4-A3F7-F13E5E7D67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1622332" cy="758336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"/>
  <sheetViews>
    <sheetView tabSelected="1" workbookViewId="0">
      <selection activeCell="C5" sqref="C5"/>
    </sheetView>
  </sheetViews>
  <sheetFormatPr defaultRowHeight="13.2" x14ac:dyDescent="0.2"/>
  <cols>
    <col min="1" max="1" width="13.21875" bestFit="1" customWidth="1"/>
    <col min="2" max="2" width="8" customWidth="1"/>
    <col min="3" max="3" width="7" customWidth="1"/>
    <col min="4" max="4" width="15" customWidth="1"/>
    <col min="5" max="5" width="17.88671875" bestFit="1" customWidth="1"/>
    <col min="6" max="6" width="15.44140625" bestFit="1" customWidth="1"/>
    <col min="7" max="7" width="16.6640625" bestFit="1" customWidth="1"/>
    <col min="9" max="9" width="8.5546875" bestFit="1" customWidth="1"/>
  </cols>
  <sheetData>
    <row r="1" spans="1:9" x14ac:dyDescent="0.2">
      <c r="B1" s="2">
        <v>160</v>
      </c>
      <c r="C1" s="2">
        <f>B1/2^19</f>
        <v>3.0517578125E-4</v>
      </c>
      <c r="D1" s="3">
        <f>(D4-D1015)/(B4-B1015)</f>
        <v>-3.0889334100000001</v>
      </c>
      <c r="E1" s="4">
        <f>D4-D1*B4</f>
        <v>0</v>
      </c>
      <c r="F1" s="5">
        <f>AVERAGE(F4:F1015)</f>
        <v>321307658.92000604</v>
      </c>
      <c r="G1">
        <f>IF(ABS(D4)&gt;3,160/2^19,160/SQRT(2)/2^19)</f>
        <v>3.0517578125E-4</v>
      </c>
    </row>
    <row r="2" spans="1:9" x14ac:dyDescent="0.2">
      <c r="A2" s="8"/>
      <c r="B2" s="8"/>
      <c r="C2" s="12" t="s">
        <v>0</v>
      </c>
      <c r="D2" s="12" t="s">
        <v>1</v>
      </c>
      <c r="E2" s="12" t="s">
        <v>2</v>
      </c>
      <c r="F2" s="9"/>
      <c r="G2" s="10" t="s">
        <v>7</v>
      </c>
      <c r="H2" s="8"/>
      <c r="I2" s="12" t="s">
        <v>4</v>
      </c>
    </row>
    <row r="3" spans="1:9" x14ac:dyDescent="0.2">
      <c r="A3" s="9" t="s">
        <v>3</v>
      </c>
      <c r="B3" s="11" t="s">
        <v>5</v>
      </c>
      <c r="C3" s="13"/>
      <c r="D3" s="13"/>
      <c r="E3" s="13"/>
      <c r="F3" s="9" t="s">
        <v>6</v>
      </c>
      <c r="G3" s="10" t="s">
        <v>8</v>
      </c>
      <c r="H3" s="8"/>
      <c r="I3" s="13"/>
    </row>
    <row r="4" spans="1:9" x14ac:dyDescent="0.2">
      <c r="A4">
        <v>-32767</v>
      </c>
      <c r="B4" s="1">
        <f>A4+2^15</f>
        <v>1</v>
      </c>
      <c r="C4" s="14" t="str">
        <f>DEC2HEX(B4,4)</f>
        <v>0001</v>
      </c>
      <c r="D4">
        <v>-3.0889334100000001</v>
      </c>
      <c r="E4" s="6">
        <f>D$1*B4+D$4</f>
        <v>-6.1778668200000002</v>
      </c>
      <c r="F4" s="7">
        <f>(D4-E4)/C$1</f>
        <v>10121.816997888</v>
      </c>
      <c r="G4" s="7">
        <f>F4-F$1</f>
        <v>-321297537.10300815</v>
      </c>
      <c r="I4">
        <v>1</v>
      </c>
    </row>
    <row r="5" spans="1:9" x14ac:dyDescent="0.2">
      <c r="A5">
        <v>-30720</v>
      </c>
      <c r="B5" s="1">
        <f t="shared" ref="B5:B35" si="0">A5+2^15</f>
        <v>2048</v>
      </c>
      <c r="C5" s="14" t="str">
        <f t="shared" ref="C5:C35" si="1">DEC2HEX(B5,4)</f>
        <v>0800</v>
      </c>
      <c r="D5">
        <v>-3.0844953959999999</v>
      </c>
      <c r="E5" s="6">
        <f>D$1*B5+D$4</f>
        <v>-6329.2245570900004</v>
      </c>
      <c r="F5" s="7">
        <f t="shared" ref="F5:F35" si="2">(D5-E5)/C$1</f>
        <v>20729495.754158899</v>
      </c>
      <c r="G5" s="7">
        <f t="shared" ref="G5:G35" si="3">F5-F$1</f>
        <v>-300578163.16584712</v>
      </c>
      <c r="I5">
        <v>2</v>
      </c>
    </row>
    <row r="6" spans="1:9" x14ac:dyDescent="0.2">
      <c r="A6">
        <v>-28672</v>
      </c>
      <c r="B6" s="1">
        <f t="shared" si="0"/>
        <v>4096</v>
      </c>
      <c r="C6" s="14" t="str">
        <f t="shared" si="1"/>
        <v>1000</v>
      </c>
      <c r="D6">
        <v>-3.0835685800000001</v>
      </c>
      <c r="E6" s="6">
        <f t="shared" ref="E6:E35" si="4">D$1*B6+D$4</f>
        <v>-12655.36018077</v>
      </c>
      <c r="F6" s="7">
        <f t="shared" si="2"/>
        <v>41458980.002824195</v>
      </c>
      <c r="G6" s="7">
        <f t="shared" si="3"/>
        <v>-279848678.91718185</v>
      </c>
      <c r="I6">
        <v>3</v>
      </c>
    </row>
    <row r="7" spans="1:9" x14ac:dyDescent="0.2">
      <c r="A7">
        <v>-26624</v>
      </c>
      <c r="B7" s="1">
        <f t="shared" si="0"/>
        <v>6144</v>
      </c>
      <c r="C7" s="14" t="str">
        <f t="shared" si="1"/>
        <v>1800</v>
      </c>
      <c r="D7">
        <v>-3.0644132609999999</v>
      </c>
      <c r="E7" s="6">
        <f t="shared" si="4"/>
        <v>-18981.495804450002</v>
      </c>
      <c r="F7" s="7">
        <f t="shared" si="2"/>
        <v>62188523.982648119</v>
      </c>
      <c r="G7" s="7">
        <f t="shared" si="3"/>
        <v>-259119134.9373579</v>
      </c>
      <c r="I7">
        <v>4</v>
      </c>
    </row>
    <row r="8" spans="1:9" x14ac:dyDescent="0.2">
      <c r="A8">
        <v>-24576</v>
      </c>
      <c r="B8" s="1">
        <f t="shared" si="0"/>
        <v>8192</v>
      </c>
      <c r="C8" s="14" t="str">
        <f t="shared" si="1"/>
        <v>2000</v>
      </c>
      <c r="D8">
        <v>-3.0605625000000001</v>
      </c>
      <c r="E8" s="6">
        <f t="shared" si="4"/>
        <v>-25307.63142813</v>
      </c>
      <c r="F8" s="7">
        <f t="shared" si="2"/>
        <v>82918017.812496394</v>
      </c>
      <c r="G8" s="7">
        <f t="shared" si="3"/>
        <v>-238389641.10750964</v>
      </c>
      <c r="I8">
        <v>5</v>
      </c>
    </row>
    <row r="9" spans="1:9" x14ac:dyDescent="0.2">
      <c r="A9">
        <v>-22528</v>
      </c>
      <c r="B9" s="1">
        <f t="shared" si="0"/>
        <v>10240</v>
      </c>
      <c r="C9" s="14" t="str">
        <f t="shared" si="1"/>
        <v>2800</v>
      </c>
      <c r="D9">
        <v>-3.0424615159999999</v>
      </c>
      <c r="E9" s="6">
        <f t="shared" si="4"/>
        <v>-31633.767051809999</v>
      </c>
      <c r="F9" s="7">
        <f t="shared" si="2"/>
        <v>103647558.33747537</v>
      </c>
      <c r="G9" s="7">
        <f t="shared" si="3"/>
        <v>-217660100.58253068</v>
      </c>
      <c r="I9">
        <v>6</v>
      </c>
    </row>
    <row r="10" spans="1:9" x14ac:dyDescent="0.2">
      <c r="A10">
        <v>-20480</v>
      </c>
      <c r="B10" s="1">
        <f t="shared" si="0"/>
        <v>12288</v>
      </c>
      <c r="C10" s="14" t="str">
        <f>DEC2HEX(B10,4)</f>
        <v>3000</v>
      </c>
      <c r="D10">
        <v>-3.014441202</v>
      </c>
      <c r="E10" s="6">
        <f t="shared" si="4"/>
        <v>-37959.902675490004</v>
      </c>
      <c r="F10" s="7">
        <f t="shared" si="2"/>
        <v>124377131.36611493</v>
      </c>
      <c r="G10" s="7">
        <f t="shared" si="3"/>
        <v>-196930527.55389112</v>
      </c>
      <c r="I10">
        <v>7</v>
      </c>
    </row>
    <row r="11" spans="1:9" x14ac:dyDescent="0.2">
      <c r="A11">
        <v>-18432</v>
      </c>
      <c r="B11" s="1">
        <f t="shared" si="0"/>
        <v>14336</v>
      </c>
      <c r="C11" s="14" t="str">
        <f t="shared" si="1"/>
        <v>3800</v>
      </c>
      <c r="D11">
        <v>-3.0130114529999998</v>
      </c>
      <c r="E11" s="6">
        <f t="shared" si="4"/>
        <v>-44286.038299170003</v>
      </c>
      <c r="F11" s="7">
        <f t="shared" si="2"/>
        <v>145106617.2627911</v>
      </c>
      <c r="G11" s="7">
        <f t="shared" si="3"/>
        <v>-176201041.65721494</v>
      </c>
      <c r="I11">
        <v>8</v>
      </c>
    </row>
    <row r="12" spans="1:9" x14ac:dyDescent="0.2">
      <c r="A12">
        <v>-16384</v>
      </c>
      <c r="B12" s="1">
        <f t="shared" si="0"/>
        <v>16384</v>
      </c>
      <c r="C12" s="14" t="str">
        <f t="shared" si="1"/>
        <v>4000</v>
      </c>
      <c r="D12">
        <v>-3.01227716</v>
      </c>
      <c r="E12" s="6">
        <f t="shared" si="4"/>
        <v>-50612.173922850001</v>
      </c>
      <c r="F12" s="7">
        <f t="shared" si="2"/>
        <v>165836100.880597</v>
      </c>
      <c r="G12" s="7">
        <f t="shared" si="3"/>
        <v>-155471558.03940904</v>
      </c>
      <c r="I12">
        <v>9</v>
      </c>
    </row>
    <row r="13" spans="1:9" x14ac:dyDescent="0.2">
      <c r="A13">
        <v>-14336</v>
      </c>
      <c r="B13" s="1">
        <f t="shared" si="0"/>
        <v>18432</v>
      </c>
      <c r="C13" s="14" t="str">
        <f t="shared" si="1"/>
        <v>4800</v>
      </c>
      <c r="D13">
        <v>-3.003330831</v>
      </c>
      <c r="E13" s="6">
        <f t="shared" si="4"/>
        <v>-56938.309546529999</v>
      </c>
      <c r="F13" s="7">
        <f t="shared" si="2"/>
        <v>186565611.40760249</v>
      </c>
      <c r="G13" s="7">
        <f t="shared" si="3"/>
        <v>-134742047.51240355</v>
      </c>
      <c r="I13">
        <v>10</v>
      </c>
    </row>
    <row r="14" spans="1:9" x14ac:dyDescent="0.2">
      <c r="A14">
        <v>-12288</v>
      </c>
      <c r="B14" s="1">
        <f t="shared" si="0"/>
        <v>20480</v>
      </c>
      <c r="C14" s="14" t="str">
        <f>DEC2HEX(B14,4)</f>
        <v>5000</v>
      </c>
      <c r="D14">
        <v>-2.9980279890000001</v>
      </c>
      <c r="E14" s="6">
        <f t="shared" si="4"/>
        <v>-63264.445170209998</v>
      </c>
      <c r="F14" s="7">
        <f t="shared" si="2"/>
        <v>207295109.99562976</v>
      </c>
      <c r="G14" s="7">
        <f t="shared" si="3"/>
        <v>-114012548.92437628</v>
      </c>
      <c r="I14">
        <v>11</v>
      </c>
    </row>
    <row r="15" spans="1:9" x14ac:dyDescent="0.2">
      <c r="A15">
        <v>-10240</v>
      </c>
      <c r="B15" s="1">
        <f t="shared" si="0"/>
        <v>22528</v>
      </c>
      <c r="C15" s="14" t="str">
        <f t="shared" si="1"/>
        <v>5800</v>
      </c>
      <c r="D15">
        <v>-2.9821025790000002</v>
      </c>
      <c r="E15" s="6">
        <f t="shared" si="4"/>
        <v>-69590.580793890011</v>
      </c>
      <c r="F15" s="7">
        <f t="shared" si="2"/>
        <v>228024643.39168793</v>
      </c>
      <c r="G15" s="7">
        <f t="shared" si="3"/>
        <v>-93283015.528318107</v>
      </c>
      <c r="I15">
        <v>12</v>
      </c>
    </row>
    <row r="16" spans="1:9" x14ac:dyDescent="0.2">
      <c r="A16">
        <v>-8192</v>
      </c>
      <c r="B16" s="1">
        <f t="shared" si="0"/>
        <v>24576</v>
      </c>
      <c r="C16" s="14" t="str">
        <f t="shared" si="1"/>
        <v>6000</v>
      </c>
      <c r="D16">
        <v>-2.9715462709999998</v>
      </c>
      <c r="E16" s="6">
        <f t="shared" si="4"/>
        <v>-75916.716417570016</v>
      </c>
      <c r="F16" s="7">
        <f t="shared" si="2"/>
        <v>248754159.19427261</v>
      </c>
      <c r="G16" s="7">
        <f t="shared" si="3"/>
        <v>-72553499.725733429</v>
      </c>
      <c r="I16">
        <v>13</v>
      </c>
    </row>
    <row r="17" spans="1:9" x14ac:dyDescent="0.2">
      <c r="A17">
        <v>-6144</v>
      </c>
      <c r="B17" s="1">
        <f t="shared" si="0"/>
        <v>26624</v>
      </c>
      <c r="C17" s="14" t="str">
        <f t="shared" si="1"/>
        <v>6800</v>
      </c>
      <c r="D17">
        <v>-2.966530691</v>
      </c>
      <c r="E17" s="6">
        <f t="shared" si="4"/>
        <v>-82242.852041250007</v>
      </c>
      <c r="F17" s="7">
        <f t="shared" si="2"/>
        <v>269483656.84099972</v>
      </c>
      <c r="G17" s="7">
        <f t="shared" si="3"/>
        <v>-51824002.079006314</v>
      </c>
      <c r="I17">
        <v>14</v>
      </c>
    </row>
    <row r="18" spans="1:9" x14ac:dyDescent="0.2">
      <c r="A18">
        <v>-4096</v>
      </c>
      <c r="B18" s="1">
        <f t="shared" si="0"/>
        <v>28672</v>
      </c>
      <c r="C18" s="14" t="str">
        <f t="shared" si="1"/>
        <v>7000</v>
      </c>
      <c r="D18">
        <v>-2.9663312909999999</v>
      </c>
      <c r="E18" s="6">
        <f t="shared" si="4"/>
        <v>-88568.987664930013</v>
      </c>
      <c r="F18" s="7">
        <f t="shared" si="2"/>
        <v>290213138.70606834</v>
      </c>
      <c r="G18" s="7">
        <f t="shared" si="3"/>
        <v>-31094520.2139377</v>
      </c>
      <c r="I18">
        <v>15</v>
      </c>
    </row>
    <row r="19" spans="1:9" x14ac:dyDescent="0.2">
      <c r="A19">
        <v>-2048</v>
      </c>
      <c r="B19" s="1">
        <f t="shared" si="0"/>
        <v>30720</v>
      </c>
      <c r="C19" s="14" t="str">
        <f t="shared" si="1"/>
        <v>7800</v>
      </c>
      <c r="D19">
        <v>-2.9640809969999999</v>
      </c>
      <c r="E19" s="6">
        <f t="shared" si="4"/>
        <v>-94895.123288610004</v>
      </c>
      <c r="F19" s="7">
        <f t="shared" si="2"/>
        <v>310942627.29150629</v>
      </c>
      <c r="G19" s="7">
        <f t="shared" si="3"/>
        <v>-10365031.628499746</v>
      </c>
      <c r="I19">
        <v>16</v>
      </c>
    </row>
    <row r="20" spans="1:9" x14ac:dyDescent="0.2">
      <c r="A20">
        <v>0</v>
      </c>
      <c r="B20" s="1">
        <f t="shared" si="0"/>
        <v>32768</v>
      </c>
      <c r="C20" s="14" t="str">
        <f t="shared" si="1"/>
        <v>8000</v>
      </c>
      <c r="D20">
        <v>-2.9467363739999999</v>
      </c>
      <c r="E20" s="6">
        <f t="shared" si="4"/>
        <v>-101221.25891229001</v>
      </c>
      <c r="F20" s="7">
        <f t="shared" si="2"/>
        <v>331672165.3380416</v>
      </c>
      <c r="G20" s="7">
        <f t="shared" si="3"/>
        <v>10364506.418035567</v>
      </c>
      <c r="I20">
        <v>17</v>
      </c>
    </row>
    <row r="21" spans="1:9" x14ac:dyDescent="0.2">
      <c r="A21">
        <v>2048</v>
      </c>
      <c r="B21" s="1">
        <f t="shared" si="0"/>
        <v>34816</v>
      </c>
      <c r="C21" s="14" t="str">
        <f t="shared" si="1"/>
        <v>8800</v>
      </c>
      <c r="D21">
        <v>-2.943602931</v>
      </c>
      <c r="E21" s="6">
        <f t="shared" si="4"/>
        <v>-107547.39453597002</v>
      </c>
      <c r="F21" s="7">
        <f t="shared" si="2"/>
        <v>352401656.81738222</v>
      </c>
      <c r="G21" s="7">
        <f t="shared" si="3"/>
        <v>31093997.89737618</v>
      </c>
      <c r="I21">
        <v>18</v>
      </c>
    </row>
    <row r="22" spans="1:9" x14ac:dyDescent="0.2">
      <c r="A22">
        <v>4096</v>
      </c>
      <c r="B22" s="1">
        <f t="shared" si="0"/>
        <v>36864</v>
      </c>
      <c r="C22" s="14" t="str">
        <f t="shared" si="1"/>
        <v>9000</v>
      </c>
      <c r="D22">
        <v>-2.9428588919999998</v>
      </c>
      <c r="E22" s="6">
        <f t="shared" si="4"/>
        <v>-113873.53015965001</v>
      </c>
      <c r="F22" s="7">
        <f t="shared" si="2"/>
        <v>373131140.46712387</v>
      </c>
      <c r="G22" s="7">
        <f t="shared" si="3"/>
        <v>51823481.547117829</v>
      </c>
      <c r="I22">
        <v>19</v>
      </c>
    </row>
    <row r="23" spans="1:9" x14ac:dyDescent="0.2">
      <c r="A23">
        <v>6144</v>
      </c>
      <c r="B23" s="1">
        <f t="shared" si="0"/>
        <v>38912</v>
      </c>
      <c r="C23" s="14" t="str">
        <f t="shared" si="1"/>
        <v>9800</v>
      </c>
      <c r="D23">
        <v>-2.9419833529999999</v>
      </c>
      <c r="E23" s="6">
        <f t="shared" si="4"/>
        <v>-120199.66578333001</v>
      </c>
      <c r="F23" s="7">
        <f t="shared" si="2"/>
        <v>393860624.54776466</v>
      </c>
      <c r="G23" s="7">
        <f t="shared" si="3"/>
        <v>72552965.627758622</v>
      </c>
      <c r="I23">
        <v>20</v>
      </c>
    </row>
    <row r="24" spans="1:9" x14ac:dyDescent="0.2">
      <c r="A24">
        <v>8192</v>
      </c>
      <c r="B24" s="1">
        <f t="shared" si="0"/>
        <v>40960</v>
      </c>
      <c r="C24" s="14" t="str">
        <f t="shared" si="1"/>
        <v>A000</v>
      </c>
      <c r="D24">
        <v>-2.9350811569999999</v>
      </c>
      <c r="E24" s="6">
        <f t="shared" si="4"/>
        <v>-126525.80140701</v>
      </c>
      <c r="F24" s="7">
        <f t="shared" si="2"/>
        <v>414590128.37655509</v>
      </c>
      <c r="G24" s="7">
        <f t="shared" si="3"/>
        <v>93282469.456549048</v>
      </c>
      <c r="I24">
        <v>21</v>
      </c>
    </row>
    <row r="25" spans="1:9" x14ac:dyDescent="0.2">
      <c r="A25">
        <v>10240</v>
      </c>
      <c r="B25" s="1">
        <f t="shared" si="0"/>
        <v>43008</v>
      </c>
      <c r="C25" s="14" t="str">
        <f t="shared" si="1"/>
        <v>A800</v>
      </c>
      <c r="D25">
        <v>-2.9301521510000001</v>
      </c>
      <c r="E25" s="6">
        <f t="shared" si="4"/>
        <v>-132851.93703069002</v>
      </c>
      <c r="F25" s="7">
        <f t="shared" si="2"/>
        <v>435319625.73959666</v>
      </c>
      <c r="G25" s="7">
        <f t="shared" si="3"/>
        <v>114011966.81959063</v>
      </c>
      <c r="I25">
        <v>22</v>
      </c>
    </row>
    <row r="26" spans="1:9" x14ac:dyDescent="0.2">
      <c r="A26">
        <v>12288</v>
      </c>
      <c r="B26" s="1">
        <f t="shared" si="0"/>
        <v>45056</v>
      </c>
      <c r="C26" s="14" t="str">
        <f t="shared" si="1"/>
        <v>B000</v>
      </c>
      <c r="D26">
        <v>-2.9269269250000001</v>
      </c>
      <c r="E26" s="6">
        <f t="shared" si="4"/>
        <v>-139178.07265437001</v>
      </c>
      <c r="F26" s="7">
        <f t="shared" si="2"/>
        <v>456049117.51969182</v>
      </c>
      <c r="G26" s="7">
        <f t="shared" si="3"/>
        <v>134741458.59968579</v>
      </c>
      <c r="I26">
        <v>23</v>
      </c>
    </row>
    <row r="27" spans="1:9" x14ac:dyDescent="0.2">
      <c r="A27">
        <v>14336</v>
      </c>
      <c r="B27" s="1">
        <f t="shared" si="0"/>
        <v>47104</v>
      </c>
      <c r="C27" s="14" t="str">
        <f>DEC2HEX(B27,4)</f>
        <v>B800</v>
      </c>
      <c r="D27">
        <v>-2.9211810909999998</v>
      </c>
      <c r="E27" s="6">
        <f t="shared" si="4"/>
        <v>-145504.20827805001</v>
      </c>
      <c r="F27" s="7">
        <f t="shared" si="2"/>
        <v>476778617.55931532</v>
      </c>
      <c r="G27" s="7">
        <f t="shared" si="3"/>
        <v>155470958.63930929</v>
      </c>
      <c r="I27">
        <v>24</v>
      </c>
    </row>
    <row r="28" spans="1:9" x14ac:dyDescent="0.2">
      <c r="A28">
        <v>16384</v>
      </c>
      <c r="B28" s="1">
        <f t="shared" si="0"/>
        <v>49152</v>
      </c>
      <c r="C28" s="14" t="str">
        <f t="shared" si="1"/>
        <v>C000</v>
      </c>
      <c r="D28">
        <v>-2.9208150709999998</v>
      </c>
      <c r="E28" s="6">
        <f t="shared" si="4"/>
        <v>-151830.34390173003</v>
      </c>
      <c r="F28" s="7">
        <f t="shared" si="2"/>
        <v>497508099.97036427</v>
      </c>
      <c r="G28" s="7">
        <f t="shared" si="3"/>
        <v>176200441.05035824</v>
      </c>
      <c r="I28">
        <v>25</v>
      </c>
    </row>
    <row r="29" spans="1:9" x14ac:dyDescent="0.2">
      <c r="A29">
        <v>18432</v>
      </c>
      <c r="B29" s="1">
        <f t="shared" si="0"/>
        <v>51200</v>
      </c>
      <c r="C29" s="14" t="str">
        <f t="shared" si="1"/>
        <v>C800</v>
      </c>
      <c r="D29">
        <v>-2.9199427509999998</v>
      </c>
      <c r="E29" s="6">
        <f t="shared" si="4"/>
        <v>-158156.47952541002</v>
      </c>
      <c r="F29" s="7">
        <f t="shared" si="2"/>
        <v>518237584.04045707</v>
      </c>
      <c r="G29" s="7">
        <f t="shared" si="3"/>
        <v>196929925.12045103</v>
      </c>
      <c r="I29">
        <v>26</v>
      </c>
    </row>
    <row r="30" spans="1:9" x14ac:dyDescent="0.2">
      <c r="A30">
        <v>20480</v>
      </c>
      <c r="B30" s="1">
        <f t="shared" si="0"/>
        <v>53248</v>
      </c>
      <c r="C30" s="14" t="str">
        <f t="shared" si="1"/>
        <v>D000</v>
      </c>
      <c r="D30">
        <v>-2.9140896220000001</v>
      </c>
      <c r="E30" s="6">
        <f t="shared" si="4"/>
        <v>-164482.61514909001</v>
      </c>
      <c r="F30" s="7">
        <f t="shared" si="2"/>
        <v>538967084.43166471</v>
      </c>
      <c r="G30" s="7">
        <f t="shared" si="3"/>
        <v>217659425.51165867</v>
      </c>
      <c r="I30">
        <v>27</v>
      </c>
    </row>
    <row r="31" spans="1:9" x14ac:dyDescent="0.2">
      <c r="A31">
        <v>22528</v>
      </c>
      <c r="B31" s="1">
        <f t="shared" si="0"/>
        <v>55296</v>
      </c>
      <c r="C31" s="14" t="str">
        <f t="shared" si="1"/>
        <v>D800</v>
      </c>
      <c r="D31">
        <v>-2.9136080529999999</v>
      </c>
      <c r="E31" s="6">
        <f t="shared" si="4"/>
        <v>-170808.75077277</v>
      </c>
      <c r="F31" s="7">
        <f t="shared" si="2"/>
        <v>559696567.22134471</v>
      </c>
      <c r="G31" s="7">
        <f t="shared" si="3"/>
        <v>238388908.30133867</v>
      </c>
      <c r="I31">
        <v>28</v>
      </c>
    </row>
    <row r="32" spans="1:9" x14ac:dyDescent="0.2">
      <c r="A32">
        <v>24576</v>
      </c>
      <c r="B32" s="1">
        <f t="shared" si="0"/>
        <v>57344</v>
      </c>
      <c r="C32" s="14" t="str">
        <f t="shared" si="1"/>
        <v>E000</v>
      </c>
      <c r="D32">
        <v>-2.9082983339999999</v>
      </c>
      <c r="E32" s="6">
        <f t="shared" si="4"/>
        <v>-177134.88639645002</v>
      </c>
      <c r="F32" s="7">
        <f t="shared" si="2"/>
        <v>580426065.83190656</v>
      </c>
      <c r="G32" s="7">
        <f t="shared" si="3"/>
        <v>259118406.91190052</v>
      </c>
      <c r="I32">
        <v>29</v>
      </c>
    </row>
    <row r="33" spans="1:9" x14ac:dyDescent="0.2">
      <c r="A33">
        <v>26624</v>
      </c>
      <c r="B33" s="1">
        <f t="shared" si="0"/>
        <v>59392</v>
      </c>
      <c r="C33" s="14" t="str">
        <f>DEC2HEX(B33,4)</f>
        <v>E800</v>
      </c>
      <c r="D33">
        <v>-2.906458137</v>
      </c>
      <c r="E33" s="6">
        <f t="shared" si="4"/>
        <v>-183461.02202013001</v>
      </c>
      <c r="F33" s="7">
        <f t="shared" si="2"/>
        <v>601155553.07353866</v>
      </c>
      <c r="G33" s="7">
        <f t="shared" si="3"/>
        <v>279847894.15353262</v>
      </c>
      <c r="I33">
        <v>30</v>
      </c>
    </row>
    <row r="34" spans="1:9" x14ac:dyDescent="0.2">
      <c r="A34">
        <v>28672</v>
      </c>
      <c r="B34" s="1">
        <f t="shared" si="0"/>
        <v>61440</v>
      </c>
      <c r="C34" s="14" t="str">
        <f t="shared" si="1"/>
        <v>F000</v>
      </c>
      <c r="D34">
        <v>-2.905078348</v>
      </c>
      <c r="E34" s="6">
        <f t="shared" si="4"/>
        <v>-189787.15764381</v>
      </c>
      <c r="F34" s="7">
        <f t="shared" si="2"/>
        <v>621885038.80650592</v>
      </c>
      <c r="G34" s="7">
        <f t="shared" si="3"/>
        <v>300577379.88649988</v>
      </c>
      <c r="I34">
        <v>31</v>
      </c>
    </row>
    <row r="35" spans="1:9" x14ac:dyDescent="0.2">
      <c r="A35">
        <v>30720</v>
      </c>
      <c r="B35" s="1">
        <f t="shared" si="0"/>
        <v>63488</v>
      </c>
      <c r="C35" s="14" t="str">
        <f t="shared" si="1"/>
        <v>F800</v>
      </c>
      <c r="D35">
        <v>-2.9045788090000002</v>
      </c>
      <c r="E35" s="6">
        <f t="shared" si="4"/>
        <v>-196113.29326749002</v>
      </c>
      <c r="F35" s="7">
        <f t="shared" si="2"/>
        <v>642614521.65507007</v>
      </c>
      <c r="G35" s="7">
        <f t="shared" si="3"/>
        <v>321306862.73506403</v>
      </c>
      <c r="I35">
        <v>32</v>
      </c>
    </row>
  </sheetData>
  <mergeCells count="4">
    <mergeCell ref="I2:I3"/>
    <mergeCell ref="E2:E3"/>
    <mergeCell ref="D2:D3"/>
    <mergeCell ref="C2:C3"/>
  </mergeCells>
  <phoneticPr fontId="1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グラフ</vt:lpstr>
      </vt:variant>
      <vt:variant>
        <vt:i4>1</vt:i4>
      </vt:variant>
    </vt:vector>
  </HeadingPairs>
  <TitlesOfParts>
    <vt:vector size="2" baseType="lpstr">
      <vt:lpstr>計算データ</vt:lpstr>
      <vt:lpstr>グラフ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櫛野英治/E.Kushino</cp:lastModifiedBy>
  <dcterms:created xsi:type="dcterms:W3CDTF">2026-03-05T08:17:53Z</dcterms:created>
  <dcterms:modified xsi:type="dcterms:W3CDTF">2026-03-05T09:03:44Z</dcterms:modified>
</cp:coreProperties>
</file>